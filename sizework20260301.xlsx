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396B5767-8F58-44B2-B254-0D338FA85E6E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3" i="1" l="1"/>
  <c r="E73" i="1"/>
  <c r="F73" i="1"/>
  <c r="D72" i="1"/>
  <c r="E72" i="1"/>
  <c r="F72" i="1"/>
  <c r="D71" i="1"/>
  <c r="E71" i="1"/>
  <c r="F71" i="1"/>
  <c r="A66" i="1"/>
  <c r="A67" i="1"/>
  <c r="B67" i="1"/>
  <c r="A68" i="1"/>
  <c r="B68" i="1"/>
  <c r="A69" i="1"/>
  <c r="B69" i="1"/>
  <c r="A70" i="1"/>
  <c r="B66" i="1" s="1"/>
  <c r="B70" i="1"/>
  <c r="D70" i="1"/>
  <c r="E70" i="1"/>
  <c r="F70" i="1"/>
  <c r="D69" i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61" i="1" l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<sst xmlns="http://schemas.openxmlformats.org/spreadsheetml/2006/main" count="78" uniqueCount="78">
  <si>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</si>
  <si>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</si>
  <si>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</si>
  <si>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</si>
  <si>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</si>
  <si>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</si>
  <si>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</si>
  <si>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</si>
  <si>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</si>
  <si>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</si>
  <si>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</si>
  <si>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</si>
  <si>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</si>
  <si>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</si>
  <si>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</si>
  <si>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</si>
  <si>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</si>
  <si>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</si>
  <si>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</si>
  <si>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</si>
  <si>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</si>
  <si>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</si>
  <si>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</si>
  <si>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</si>
  <si>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</si>
  <si>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</si>
  <si>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</si>
  <si>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</si>
  <si>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</si>
  <si>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</si>
  <si>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</si>
  <si>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</si>
  <si>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</si>
  <si>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</si>
  <si>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</si>
  <si>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</si>
  <si>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</si>
  <si>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</si>
  <si>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</si>
  <si>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</si>
  <si>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</si>
  <si>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</si>
  <si>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</si>
  <si>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</si>
  <si>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</si>
  <si>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</si>
  <si>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</si>
  <si>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</si>
  <si>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</si>
  <si>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</si>
  <si>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</si>
  <si>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</si>
  <si>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</si>
  <si>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</si>
  <si>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</si>
  <si>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</si>
  <si>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</si>
  <si>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</si>
  <si>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</si>
  <si>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</si>
  <si>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</si>
  <si>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</si>
  <si>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</si>
  <si>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</si>
  <si>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</si>
  <si>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</si>
  <si>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</si>
  <si>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</si>
  <si>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</si>
  <si>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</si>
  <si>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</si>
  <si>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</si>
  <si>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</si>
  <si>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</si>
  <si>
    <t>removing compensation gain on soft clipper which was also causing mbc problems</t>
  </si>
  <si>
    <t>de-inline moog filter,'calculate filter G in function removing many clamps, misc</t>
  </si>
  <si>
    <t>no filtered white noise wave  shapes.</t>
  </si>
  <si>
    <t>deinlining param stuff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</si>
</sst>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73"/>
  <sheetViews>
    <sheetView tabSelected="1" workbookViewId="0">
      <pane ySplit="1" topLeftCell="A47" activePane="bottomLeft" state="frozen"/>
      <selection pane="bottomLeft" activeCell="G74" sqref="G74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  <row r="61" spans="1:7" x14ac:dyDescent="0.25">
      <c r="A61">
        <f t="shared" ref="A61:A65" si="149">C61-$O$2</f>
        <v>156</v>
      </c>
      <c r="B61" s="1" t="str">
        <f t="shared" ref="B61:B65" si="150">REPT("#",A61*100/MAX(A:A))</f>
        <v>##</v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-156</v>
      </c>
      <c r="G61" t="s">
        <v>65</v>
      </c>
    </row>
    <row r="62" spans="1:7" x14ac:dyDescent="0.25">
      <c r="A62">
        <f t="shared" si="149"/>
        <v>196</v>
      </c>
      <c r="B62" s="1" t="str">
        <f t="shared" si="150"/>
        <v>###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-196</v>
      </c>
      <c r="G62" t="s">
        <v>66</v>
      </c>
    </row>
    <row r="63" spans="1:7" x14ac:dyDescent="0.25">
      <c r="A63">
        <f t="shared" si="149"/>
        <v>116</v>
      </c>
      <c r="B63" s="1" t="str">
        <f t="shared" si="150"/>
        <v>##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-116</v>
      </c>
      <c r="G63" t="s">
        <v>67</v>
      </c>
    </row>
    <row r="64" spans="1:7" x14ac:dyDescent="0.25">
      <c r="A64">
        <f t="shared" si="149"/>
        <v>640</v>
      </c>
      <c r="B64" s="1" t="str">
        <f t="shared" si="150"/>
        <v>###########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-640</v>
      </c>
      <c r="G64" t="s">
        <v>68</v>
      </c>
    </row>
    <row r="65" spans="1:7" x14ac:dyDescent="0.25">
      <c r="A65">
        <f t="shared" si="149"/>
        <v>440</v>
      </c>
      <c r="B65" s="1" t="str">
        <f t="shared" si="150"/>
        <v>#######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-440</v>
      </c>
      <c r="G65" t="s">
        <v>69</v>
      </c>
    </row>
    <row r="66" spans="1:7" x14ac:dyDescent="0.25">
      <c r="A66">
        <f t="shared" ref="A66:A70" si="166">C66-$O$2</f>
        <v>388</v>
      </c>
      <c r="B66" s="1" t="str">
        <f t="shared" ref="B66:B70" si="167">REPT("#",A66*100/MAX(A:A))</f>
        <v>######</v>
      </c>
      <c r="C66">
        <v>33156</v>
      </c>
      <c r="D66" s="2">
        <f t="shared" ref="D66" si="168">C65-C66</f>
        <v>52</v>
      </c>
      <c r="E66">
        <f t="shared" ref="E66" si="169">$C$4-C66</f>
        <v>5244</v>
      </c>
      <c r="F66">
        <f t="shared" ref="F66" si="170">$O$2-C66</f>
        <v>-388</v>
      </c>
      <c r="G66" t="s">
        <v>70</v>
      </c>
    </row>
    <row r="67" spans="1:7" x14ac:dyDescent="0.25">
      <c r="A67">
        <f t="shared" si="166"/>
        <v>324</v>
      </c>
      <c r="B67" s="1" t="str">
        <f t="shared" si="167"/>
        <v>#####</v>
      </c>
      <c r="C67">
        <v>33092</v>
      </c>
      <c r="D67" s="2">
        <f t="shared" ref="D67" si="171">C66-C67</f>
        <v>64</v>
      </c>
      <c r="E67">
        <f t="shared" ref="E67" si="172">$C$4-C67</f>
        <v>5308</v>
      </c>
      <c r="F67">
        <f t="shared" ref="F67" si="173">$O$2-C67</f>
        <v>-324</v>
      </c>
      <c r="G67" t="s">
        <v>71</v>
      </c>
    </row>
    <row r="68" spans="1:7" x14ac:dyDescent="0.25">
      <c r="A68">
        <f t="shared" si="166"/>
        <v>216</v>
      </c>
      <c r="B68" s="1" t="str">
        <f t="shared" si="167"/>
        <v>###</v>
      </c>
      <c r="C68">
        <v>32984</v>
      </c>
      <c r="D68" s="2">
        <f t="shared" ref="D68" si="174">C67-C68</f>
        <v>108</v>
      </c>
      <c r="E68">
        <f t="shared" ref="E68" si="175">$C$4-C68</f>
        <v>5416</v>
      </c>
      <c r="F68">
        <f t="shared" ref="F68" si="176">$O$2-C68</f>
        <v>-216</v>
      </c>
      <c r="G68" t="s">
        <v>72</v>
      </c>
    </row>
    <row r="69" spans="1:7" x14ac:dyDescent="0.25">
      <c r="A69">
        <f t="shared" si="166"/>
        <v>228</v>
      </c>
      <c r="B69" s="1" t="str">
        <f t="shared" si="167"/>
        <v>####</v>
      </c>
      <c r="C69">
        <v>32996</v>
      </c>
      <c r="D69" s="2">
        <f t="shared" ref="D69" si="177">C68-C69</f>
        <v>-12</v>
      </c>
      <c r="E69">
        <f t="shared" ref="E69" si="178">$C$4-C69</f>
        <v>5404</v>
      </c>
      <c r="F69">
        <f t="shared" ref="F69" si="179">$O$2-C69</f>
        <v>-228</v>
      </c>
      <c r="G69" t="s">
        <v>73</v>
      </c>
    </row>
    <row r="70" spans="1:7" x14ac:dyDescent="0.25">
      <c r="A70">
        <f t="shared" si="166"/>
        <v>212</v>
      </c>
      <c r="B70" s="1" t="str">
        <f t="shared" si="167"/>
        <v>###</v>
      </c>
      <c r="C70">
        <v>32980</v>
      </c>
      <c r="D70" s="2">
        <f t="shared" ref="D70" si="180">C69-C70</f>
        <v>16</v>
      </c>
      <c r="E70">
        <f t="shared" ref="E70" si="181">$C$4-C70</f>
        <v>5420</v>
      </c>
      <c r="F70">
        <f t="shared" ref="F70" si="182">$O$2-C70</f>
        <v>-212</v>
      </c>
      <c r="G70" t="s">
        <v>74</v>
      </c>
    </row>
    <row r="71" spans="1:7" x14ac:dyDescent="0.25">
      <c r="C71">
        <v>32960</v>
      </c>
      <c r="D71" s="2">
        <f t="shared" ref="D71" si="183">C70-C71</f>
        <v>20</v>
      </c>
      <c r="E71">
        <f t="shared" ref="E71" si="184">$C$4-C71</f>
        <v>5440</v>
      </c>
      <c r="F71">
        <f t="shared" ref="F71" si="185">$O$2-C71</f>
        <v>-192</v>
      </c>
      <c r="G71" t="s">
        <v>75</v>
      </c>
    </row>
    <row r="72" spans="1:7" x14ac:dyDescent="0.25">
      <c r="C72">
        <v>32856</v>
      </c>
      <c r="D72" s="2">
        <f t="shared" ref="D72" si="186">C71-C72</f>
        <v>104</v>
      </c>
      <c r="E72">
        <f t="shared" ref="E72" si="187">$C$4-C72</f>
        <v>5544</v>
      </c>
      <c r="F72">
        <f t="shared" ref="F72" si="188">$O$2-C72</f>
        <v>-88</v>
      </c>
      <c r="G72" t="s">
        <v>76</v>
      </c>
    </row>
    <row r="73" spans="1:7" x14ac:dyDescent="0.25">
      <c r="C73">
        <v>32800</v>
      </c>
      <c r="D73" s="2">
        <f t="shared" ref="D73" si="189">C72-C73</f>
        <v>56</v>
      </c>
      <c r="E73">
        <f t="shared" ref="E73" si="190">$C$4-C73</f>
        <v>5600</v>
      </c>
      <c r="F73">
        <f t="shared" ref="F73" si="191">$O$2-C73</f>
        <v>-32</v>
      </c>
      <c r="G73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2026-03-13T08:46:38Z</dcterms:modified>
</cp:coreProperties>
</file>