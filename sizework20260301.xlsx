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A8B86CB3-6117-4901-8430-7EFADC46EB1B}" xr6:coauthVersionLast="47" xr6:coauthVersionMax="47" xr10:uidLastSave="{00000000-0000-0000-0000-000000000000}"/>
  <bookViews>
    <workbookView xWindow="4815" yWindow="2775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0" i="1" l="1"/>
  <c r="E40" i="1"/>
  <c r="F40" i="1"/>
  <c r="D39" i="1"/>
  <c r="E39" i="1"/>
  <c r="F39" i="1"/>
  <c r="D38" i="1"/>
  <c r="E38" i="1"/>
  <c r="F38" i="1"/>
  <c r="D37" i="1"/>
  <c r="E37" i="1"/>
  <c r="F37" i="1"/>
  <c r="D36" i="1"/>
  <c r="E36" i="1"/>
  <c r="F36" i="1"/>
  <c r="D35" i="1"/>
  <c r="E35" i="1"/>
  <c r="F35" i="1"/>
  <c r="D34" i="1"/>
  <c r="E34" i="1"/>
  <c r="F34" i="1"/>
  <c r="A27" i="1"/>
  <c r="A28" i="1"/>
  <c r="A29" i="1"/>
  <c r="A30" i="1"/>
  <c r="A31" i="1"/>
  <c r="A32" i="1"/>
  <c r="A33" i="1"/>
  <c r="B20" i="1" s="1"/>
  <c r="D33" i="1"/>
  <c r="E33" i="1"/>
  <c r="F33" i="1"/>
  <c r="D32" i="1"/>
  <c r="E32" i="1"/>
  <c r="F32" i="1"/>
  <c r="D31" i="1"/>
  <c r="E31" i="1"/>
  <c r="F31" i="1"/>
  <c r="D30" i="1"/>
  <c r="E30" i="1"/>
  <c r="F30" i="1"/>
  <c r="D29" i="1"/>
  <c r="E29" i="1"/>
  <c r="F29" i="1"/>
  <c r="D28" i="1"/>
  <c r="E28" i="1"/>
  <c r="F28" i="1"/>
  <c r="D27" i="1"/>
  <c r="E27" i="1"/>
  <c r="F27" i="1"/>
  <c r="A25" i="1"/>
  <c r="A26" i="1"/>
  <c r="D26" i="1"/>
  <c r="E26" i="1"/>
  <c r="F26" i="1"/>
  <c r="D25" i="1"/>
  <c r="E25" i="1"/>
  <c r="F25" i="1"/>
  <c r="A24" i="1"/>
  <c r="D24" i="1"/>
  <c r="E24" i="1"/>
  <c r="F24" i="1"/>
  <c r="A23" i="1"/>
  <c r="D23" i="1"/>
  <c r="E23" i="1"/>
  <c r="F23" i="1"/>
  <c r="A22" i="1"/>
  <c r="D22" i="1"/>
  <c r="E22" i="1"/>
  <c r="F22" i="1"/>
  <c r="A20" i="1"/>
  <c r="A21" i="1"/>
  <c r="D21" i="1"/>
  <c r="E21" i="1"/>
  <c r="F21" i="1"/>
  <c r="D20" i="1"/>
  <c r="E20" i="1"/>
  <c r="F20" i="1"/>
  <c r="D19" i="1"/>
  <c r="E19" i="1"/>
  <c r="F19" i="1"/>
  <c r="A18" i="1"/>
  <c r="A19" i="1"/>
  <c r="D18" i="1"/>
  <c r="E18" i="1"/>
  <c r="F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33" i="1" l="1"/>
  <c r="B21" i="1"/>
  <c r="B22" i="1"/>
  <c r="B24" i="1"/>
  <c r="B17" i="1"/>
  <c r="B16" i="1"/>
  <c r="B12" i="1"/>
  <c r="B3" i="1"/>
  <c r="B19" i="1"/>
  <c r="B29" i="1"/>
  <c r="B32" i="1"/>
  <c r="B31" i="1"/>
  <c r="B30" i="1"/>
  <c r="B28" i="1"/>
  <c r="B13" i="1"/>
  <c r="B5" i="1"/>
  <c r="B26" i="1"/>
  <c r="B23" i="1"/>
  <c r="B27" i="1"/>
  <c r="B25" i="1"/>
  <c r="B15" i="1"/>
  <c r="B14" i="1"/>
  <c r="B11" i="1"/>
  <c r="B10" i="1"/>
  <c r="B9" i="1"/>
  <c r="B8" i="1"/>
  <c r="B7" i="1"/>
  <c r="B6" i="1"/>
  <c r="B4" i="1"/>
  <c r="B18" i="1"/>
</calcChain>
</file>

<file path=xl/sharedStrings.xml><?xml version="1.0" encoding="utf-8"?>
<sst xmlns="http://schemas.openxmlformats.org/spreadsheetml/2006/main" count="48" uniqueCount="48">
  <si>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</si>
  <si>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</si>
  <si>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</si>
  <si>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</si>
  <si>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</si>
  <si>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</si>
  <si>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</si>
  <si>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</si>
  <si>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</si>
  <si>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</si>
  <si>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</si>
  <si>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</si>
  <si>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</si>
  <si>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</si>
  <si>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</si>
  <si>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</si>
  <si>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</si>
  <si>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</si>
  <si>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</si>
  <si>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</si>
  <si>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</si>
  <si>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</si>
  <si>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</si>
  <si>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</si>
  <si>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</si>
  <si>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</si>
  <si>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</si>
  <si>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</si>
  <si>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</si>
  <si>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</si>
  <si>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</si>
  <si>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</si>
  <si>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</si>
  <si>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</si>
  <si>
    <t>remove notch &amp; allpass filter impls</t>
  </si>
  <si>
    <t>tiny tweak to butterworth</t>
  </si>
  <si>
    <t>true filter selection in EQ</t>
  </si>
  <si>
    <t>and supporting fixes and code</t>
  </si>
  <si>
    <t>fixing CRT dependencies</t>
  </si>
  <si>
    <t>massive refactor</t>
  </si>
  <si>
    <t>TODO opportunities:</t>
  </si>
  <si>
    <t>driverEnumCallback</t>
  </si>
  <si>
    <t>delay-based allpass, comb, delaybuffer, possibly sampler buffer could probably all share the same code</t>
  </si>
  <si>
    <t>more fixing bugs, display help text</t>
  </si>
  <si>
    <t>removed unnecessary recalc mask</t>
  </si>
  <si>
    <t>removed unnecessary lambda in oscillator ??</t>
  </si>
  <si>
    <t>hardcode recalc masks</t>
  </si>
  <si>
    <t>fixed int/enum serialization (core work: presets still need fixing)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</si>
</sst>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45"/>
  <sheetViews>
    <sheetView tabSelected="1" workbookViewId="0">
      <pane ySplit="1" topLeftCell="A20" activePane="bottomLeft" state="frozen"/>
      <selection pane="bottomLeft" activeCell="G41" sqref="G41"/>
    </sheetView>
  </sheetViews>
  <sheetFormatPr defaultRowHeight="15" x14ac:dyDescent="0.25"/>
  <cols>
    <col min="2" max="2" width="4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REPT("|",A3*60/MAX(A:A))</f>
        <v>||||||||||||||||||||||||||||||||||||||||||||||||||||||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33" si="1">REPT("|",A4*60/MAX(A:A))</f>
        <v>||||||||||||||||||||||||||||||||||||||||||||||||||||||||||||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||||||||||||||||||||||||||||||||||||||||||||||||||||||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|||||||||||||||||||||||||||||||||||||||||||||||||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|||||||||||||||||||||||||||||||||||||||||||||||||</v>
      </c>
      <c r="C7">
        <v>37392</v>
      </c>
      <c r="D7" s="2">
        <f t="shared" ref="D7:D34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|||||||||||||||||||||||||||||||||||||||||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|||||||||||||||||||||||||||||||||||||||||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|||||||||||||||||||||||||||||||||||||||||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|||||||||||||||||||||||||||||||||||||||||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|||||||||||||||||||||||||||||||||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||||||||||||||||||||||||||||||||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||||||||||||||||||||||||||||||||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||||||||||||||||||||||||||||||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|||||||||||||||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||||||||||||||||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||||||||||||||||</v>
      </c>
      <c r="C18">
        <v>34276</v>
      </c>
      <c r="D18" s="2">
        <f t="shared" si="3"/>
        <v>4</v>
      </c>
      <c r="E18">
        <f t="shared" ref="E18" si="25">$C$4-C18</f>
        <v>4124</v>
      </c>
      <c r="F18">
        <f t="shared" ref="F18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|||||||||||||||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  <row r="20" spans="1:7" x14ac:dyDescent="0.25">
      <c r="A20">
        <f t="shared" ref="A20:A21" si="29">C20-$O$2</f>
        <v>1420</v>
      </c>
      <c r="B20" s="1" t="str">
        <f t="shared" si="1"/>
        <v>|||||||||||||||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-1420</v>
      </c>
      <c r="G20" t="s">
        <v>24</v>
      </c>
    </row>
    <row r="21" spans="1:7" x14ac:dyDescent="0.25">
      <c r="A21">
        <f t="shared" si="29"/>
        <v>1364</v>
      </c>
      <c r="B21" s="1" t="str">
        <f t="shared" si="1"/>
        <v>||||||||||||||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-1364</v>
      </c>
      <c r="G21" t="s">
        <v>25</v>
      </c>
    </row>
    <row r="22" spans="1:7" x14ac:dyDescent="0.25">
      <c r="A22">
        <f t="shared" ref="A22" si="34">C22-$O$2</f>
        <v>1272</v>
      </c>
      <c r="B22" s="1" t="str">
        <f t="shared" si="1"/>
        <v>|||||||||||||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-1272</v>
      </c>
      <c r="G22" t="s">
        <v>26</v>
      </c>
    </row>
    <row r="23" spans="1:7" x14ac:dyDescent="0.25">
      <c r="A23">
        <f t="shared" ref="A23" si="37">C23-$O$2</f>
        <v>1256</v>
      </c>
      <c r="B23" s="1" t="str">
        <f t="shared" si="1"/>
        <v>|||||||||||||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-1256</v>
      </c>
      <c r="G23" t="s">
        <v>27</v>
      </c>
    </row>
    <row r="24" spans="1:7" x14ac:dyDescent="0.25">
      <c r="A24">
        <f t="shared" ref="A24" si="40">C24-$O$2</f>
        <v>1108</v>
      </c>
      <c r="B24" s="1" t="str">
        <f t="shared" si="1"/>
        <v>|||||||||||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-1108</v>
      </c>
      <c r="G24" t="s">
        <v>28</v>
      </c>
    </row>
    <row r="25" spans="1:7" x14ac:dyDescent="0.25">
      <c r="A25">
        <f t="shared" ref="A25:A26" si="43">C25-$O$2</f>
        <v>-428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428</v>
      </c>
      <c r="G25" t="s">
        <v>29</v>
      </c>
    </row>
    <row r="26" spans="1:7" x14ac:dyDescent="0.25">
      <c r="A26">
        <f t="shared" si="43"/>
        <v>-132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132</v>
      </c>
      <c r="G26" t="s">
        <v>30</v>
      </c>
    </row>
    <row r="27" spans="1:7" x14ac:dyDescent="0.25">
      <c r="A27">
        <f t="shared" ref="A27:A33" si="48">C27-$O$2</f>
        <v>-56</v>
      </c>
      <c r="B27" s="1" t="e">
        <f t="shared" si="1"/>
        <v>#VALUE!</v>
      </c>
      <c r="C27">
        <v>32712</v>
      </c>
      <c r="D27" s="2">
        <f t="shared" si="3"/>
        <v>-76</v>
      </c>
      <c r="E27">
        <f t="shared" ref="E27" si="49">$C$4-C27</f>
        <v>5688</v>
      </c>
      <c r="F27">
        <f t="shared" ref="F27" si="50">$O$2-C27</f>
        <v>56</v>
      </c>
      <c r="G27" t="s">
        <v>31</v>
      </c>
    </row>
    <row r="28" spans="1:7" x14ac:dyDescent="0.25">
      <c r="A28">
        <f t="shared" si="48"/>
        <v>140</v>
      </c>
      <c r="B28" s="1" t="str">
        <f t="shared" si="1"/>
        <v>|</v>
      </c>
      <c r="C28">
        <v>32908</v>
      </c>
      <c r="D28" s="2">
        <f t="shared" si="3"/>
        <v>-196</v>
      </c>
      <c r="E28">
        <f t="shared" ref="E28" si="51">$C$4-C28</f>
        <v>5492</v>
      </c>
      <c r="F28">
        <f t="shared" ref="F28" si="52">$O$2-C28</f>
        <v>-140</v>
      </c>
      <c r="G28" t="s">
        <v>32</v>
      </c>
    </row>
    <row r="29" spans="1:7" x14ac:dyDescent="0.25">
      <c r="A29">
        <f t="shared" si="48"/>
        <v>12</v>
      </c>
      <c r="B29" s="1" t="str">
        <f t="shared" si="1"/>
        <v/>
      </c>
      <c r="C29">
        <v>32780</v>
      </c>
      <c r="D29" s="2">
        <f t="shared" si="3"/>
        <v>128</v>
      </c>
      <c r="E29">
        <f t="shared" ref="E29" si="53">$C$4-C29</f>
        <v>5620</v>
      </c>
      <c r="F29">
        <f t="shared" ref="F29" si="54">$O$2-C29</f>
        <v>-12</v>
      </c>
      <c r="G29" t="s">
        <v>33</v>
      </c>
    </row>
    <row r="30" spans="1:7" x14ac:dyDescent="0.25">
      <c r="A30">
        <f t="shared" si="48"/>
        <v>-32</v>
      </c>
      <c r="B30" s="1" t="e">
        <f t="shared" si="1"/>
        <v>#VALUE!</v>
      </c>
      <c r="C30">
        <v>32736</v>
      </c>
      <c r="D30" s="2">
        <f t="shared" si="3"/>
        <v>44</v>
      </c>
      <c r="E30">
        <f t="shared" ref="E30" si="55">$C$4-C30</f>
        <v>5664</v>
      </c>
      <c r="F30">
        <f t="shared" ref="F30" si="56">$O$2-C30</f>
        <v>32</v>
      </c>
      <c r="G30" t="s">
        <v>34</v>
      </c>
    </row>
    <row r="31" spans="1:7" x14ac:dyDescent="0.25">
      <c r="A31">
        <f t="shared" si="48"/>
        <v>-36</v>
      </c>
      <c r="B31" s="1" t="e">
        <f t="shared" si="1"/>
        <v>#VALUE!</v>
      </c>
      <c r="C31">
        <v>32732</v>
      </c>
      <c r="D31" s="2">
        <f t="shared" si="3"/>
        <v>4</v>
      </c>
      <c r="E31">
        <f t="shared" ref="E31" si="57">$C$4-C31</f>
        <v>5668</v>
      </c>
      <c r="F31">
        <f t="shared" ref="F31" si="58">$O$2-C31</f>
        <v>36</v>
      </c>
      <c r="G31" t="s">
        <v>35</v>
      </c>
    </row>
    <row r="32" spans="1:7" x14ac:dyDescent="0.25">
      <c r="A32">
        <f t="shared" si="48"/>
        <v>48</v>
      </c>
      <c r="B32" s="1" t="str">
        <f t="shared" si="1"/>
        <v/>
      </c>
      <c r="C32">
        <v>32816</v>
      </c>
      <c r="D32" s="2">
        <f t="shared" si="3"/>
        <v>-84</v>
      </c>
      <c r="E32">
        <f t="shared" ref="E32" si="59">$C$4-C32</f>
        <v>5584</v>
      </c>
      <c r="F32">
        <f t="shared" ref="F32" si="60">$O$2-C32</f>
        <v>-48</v>
      </c>
      <c r="G32" t="s">
        <v>36</v>
      </c>
    </row>
    <row r="33" spans="1:7" x14ac:dyDescent="0.25">
      <c r="A33">
        <f t="shared" si="48"/>
        <v>96</v>
      </c>
      <c r="B33" s="1" t="str">
        <f t="shared" si="1"/>
        <v>|</v>
      </c>
      <c r="C33">
        <v>32864</v>
      </c>
      <c r="D33" s="2">
        <f t="shared" si="3"/>
        <v>-48</v>
      </c>
      <c r="E33">
        <f t="shared" ref="E33" si="61">$C$4-C33</f>
        <v>5536</v>
      </c>
      <c r="F33">
        <f t="shared" ref="F33" si="62">$O$2-C33</f>
        <v>-96</v>
      </c>
      <c r="G33" t="s">
        <v>37</v>
      </c>
    </row>
    <row r="34" spans="1:7" x14ac:dyDescent="0.25">
      <c r="C34">
        <v>32792</v>
      </c>
      <c r="D34" s="2">
        <f t="shared" si="3"/>
        <v>72</v>
      </c>
      <c r="E34">
        <f t="shared" ref="E34" si="63">$C$4-C34</f>
        <v>5608</v>
      </c>
      <c r="F34">
        <f t="shared" ref="F34" si="64">$O$2-C34</f>
        <v>-24</v>
      </c>
      <c r="G34" t="s">
        <v>38</v>
      </c>
    </row>
    <row r="35" spans="1:7" x14ac:dyDescent="0.25">
      <c r="C35">
        <v>32808</v>
      </c>
      <c r="D35" s="2">
        <f t="shared" ref="D35" si="65">C34-C35</f>
        <v>-16</v>
      </c>
      <c r="E35">
        <f t="shared" ref="E35" si="66">$C$4-C35</f>
        <v>5592</v>
      </c>
      <c r="F35">
        <f t="shared" ref="F35" si="67">$O$2-C35</f>
        <v>-40</v>
      </c>
      <c r="G35" t="s">
        <v>39</v>
      </c>
    </row>
    <row r="36" spans="1:7" x14ac:dyDescent="0.25">
      <c r="C36">
        <v>32812</v>
      </c>
      <c r="D36" s="2">
        <f t="shared" ref="D36" si="68">C35-C36</f>
        <v>-4</v>
      </c>
      <c r="E36">
        <f t="shared" ref="E36" si="69">$C$4-C36</f>
        <v>5588</v>
      </c>
      <c r="F36">
        <f t="shared" ref="F36" si="70">$O$2-C36</f>
        <v>-44</v>
      </c>
      <c r="G36" t="s">
        <v>43</v>
      </c>
    </row>
    <row r="37" spans="1:7" x14ac:dyDescent="0.25">
      <c r="C37">
        <v>32788</v>
      </c>
      <c r="D37" s="2">
        <f t="shared" ref="D37" si="71">C36-C37</f>
        <v>24</v>
      </c>
      <c r="E37">
        <f t="shared" ref="E37" si="72">$C$4-C37</f>
        <v>5612</v>
      </c>
      <c r="F37">
        <f t="shared" ref="F37" si="73">$O$2-C37</f>
        <v>-20</v>
      </c>
      <c r="G37" t="s">
        <v>44</v>
      </c>
    </row>
    <row r="38" spans="1:7" x14ac:dyDescent="0.25">
      <c r="C38">
        <v>32768</v>
      </c>
      <c r="D38" s="2">
        <f t="shared" ref="D38:D41" si="74">C37-C38</f>
        <v>20</v>
      </c>
      <c r="E38">
        <f t="shared" ref="E38:E41" si="75">$C$4-C38</f>
        <v>5632</v>
      </c>
      <c r="F38">
        <f t="shared" ref="F38:F41" si="76">$O$2-C38</f>
        <v>0</v>
      </c>
      <c r="G38" t="s">
        <v>45</v>
      </c>
    </row>
    <row r="39" spans="1:7" x14ac:dyDescent="0.25">
      <c r="C39">
        <v>32712</v>
      </c>
      <c r="D39" s="2">
        <f t="shared" ref="D39" si="77">C38-C39</f>
        <v>56</v>
      </c>
      <c r="E39">
        <f t="shared" ref="E39" si="78">$C$4-C39</f>
        <v>5688</v>
      </c>
      <c r="F39">
        <f t="shared" ref="F39" si="79">$O$2-C39</f>
        <v>56</v>
      </c>
      <c r="G39" t="s">
        <v>46</v>
      </c>
    </row>
    <row r="40" spans="1:7" x14ac:dyDescent="0.25">
      <c r="C40">
        <v>32656</v>
      </c>
      <c r="D40" s="2">
        <f t="shared" ref="D40" si="80">C39-C40</f>
        <v>56</v>
      </c>
      <c r="E40">
        <f t="shared" ref="E40" si="81">$C$4-C40</f>
        <v>5744</v>
      </c>
      <c r="F40">
        <f t="shared" ref="F40" si="82">$O$2-C40</f>
        <v>112</v>
      </c>
      <c r="G40" t="s">
        <v>47</v>
      </c>
    </row>
    <row r="43" spans="1:7" x14ac:dyDescent="0.25">
      <c r="G43" t="s">
        <v>40</v>
      </c>
    </row>
    <row r="44" spans="1:7" x14ac:dyDescent="0.25">
      <c r="G44" t="s">
        <v>41</v>
      </c>
    </row>
    <row r="45" spans="1:7" x14ac:dyDescent="0.25">
      <c r="G45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2026-03-04T11:33:23Z</dcterms:modified>
</cp:coreProperties>
</file>