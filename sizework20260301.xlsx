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5"/>
  <workbookPr defaultThemeVersion="166925"/>
  <mc:AlternateContent xmlns:mc="http://schemas.openxmlformats.org/markup-compatibility/2006">
    <mc:Choice Requires="x15">
      <x15ac:absPath xmlns:x15ac="http://schemas.microsoft.com/office/spreadsheetml/2010/11/ac" url="C:\root\git\thenfour\WaveSabre\"/>
    </mc:Choice>
  </mc:AlternateContent>
  <xr:revisionPtr revIDLastSave="0" documentId="13_ncr:1_{545F6317-2C6D-4501-B2F2-BE3B22A3D60F}" xr6:coauthVersionLast="47" xr6:coauthVersionMax="47" xr10:uidLastSave="{00000000-0000-0000-0000-000000000000}"/>
  <bookViews>
    <workbookView xWindow="10755" yWindow="2715" windowWidth="25005" windowHeight="16545" xr2:uid="{57C643F4-F52E-40AC-8074-51E8A42F966D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D44" i="1" l="1"/>
  <c r="E44" i="1"/>
  <c r="F44" i="1"/>
  <c r="D43" i="1"/>
  <c r="E43" i="1"/>
  <c r="F43" i="1"/>
  <c r="D42" i="1"/>
  <c r="E42" i="1"/>
  <c r="F42" i="1"/>
  <c r="D41" i="1"/>
  <c r="E41" i="1"/>
  <c r="F41" i="1"/>
  <c r="D40" i="1"/>
  <c r="E40" i="1"/>
  <c r="F40" i="1"/>
  <c r="D39" i="1"/>
  <c r="E39" i="1"/>
  <c r="F39" i="1"/>
  <c r="D38" i="1"/>
  <c r="E38" i="1"/>
  <c r="F38" i="1"/>
  <c r="D37" i="1"/>
  <c r="E37" i="1"/>
  <c r="F37" i="1"/>
  <c r="D36" i="1"/>
  <c r="E36" i="1"/>
  <c r="F36" i="1"/>
  <c r="D35" i="1"/>
  <c r="E35" i="1"/>
  <c r="F35" i="1"/>
  <c r="D34" i="1"/>
  <c r="E34" i="1"/>
  <c r="F34" i="1"/>
  <c r="A27" i="1"/>
  <c r="A28" i="1"/>
  <c r="A29" i="1"/>
  <c r="A30" i="1"/>
  <c r="A31" i="1"/>
  <c r="A32" i="1"/>
  <c r="A33" i="1"/>
  <c r="B20" i="1" s="1"/>
  <c r="D33" i="1"/>
  <c r="E33" i="1"/>
  <c r="F33" i="1"/>
  <c r="D32" i="1"/>
  <c r="E32" i="1"/>
  <c r="F32" i="1"/>
  <c r="D31" i="1"/>
  <c r="E31" i="1"/>
  <c r="F31" i="1"/>
  <c r="D30" i="1"/>
  <c r="E30" i="1"/>
  <c r="F30" i="1"/>
  <c r="D29" i="1"/>
  <c r="E29" i="1"/>
  <c r="F29" i="1"/>
  <c r="D28" i="1"/>
  <c r="E28" i="1"/>
  <c r="F28" i="1"/>
  <c r="D27" i="1"/>
  <c r="E27" i="1"/>
  <c r="F27" i="1"/>
  <c r="A25" i="1"/>
  <c r="A26" i="1"/>
  <c r="D26" i="1"/>
  <c r="E26" i="1"/>
  <c r="F26" i="1"/>
  <c r="D25" i="1"/>
  <c r="E25" i="1"/>
  <c r="F25" i="1"/>
  <c r="A24" i="1"/>
  <c r="D24" i="1"/>
  <c r="E24" i="1"/>
  <c r="F24" i="1"/>
  <c r="A23" i="1"/>
  <c r="D23" i="1"/>
  <c r="E23" i="1"/>
  <c r="F23" i="1"/>
  <c r="A22" i="1"/>
  <c r="D22" i="1"/>
  <c r="E22" i="1"/>
  <c r="F22" i="1"/>
  <c r="A20" i="1"/>
  <c r="A21" i="1"/>
  <c r="D21" i="1"/>
  <c r="E21" i="1"/>
  <c r="F21" i="1"/>
  <c r="D20" i="1"/>
  <c r="E20" i="1"/>
  <c r="F20" i="1"/>
  <c r="D19" i="1"/>
  <c r="E19" i="1"/>
  <c r="F19" i="1"/>
  <c r="A18" i="1"/>
  <c r="A19" i="1"/>
  <c r="D18" i="1"/>
  <c r="E18" i="1"/>
  <c r="F18" i="1"/>
  <c r="A3" i="1"/>
  <c r="A4" i="1"/>
  <c r="A5" i="1"/>
  <c r="A6" i="1"/>
  <c r="A7" i="1"/>
  <c r="A8" i="1"/>
  <c r="A9" i="1"/>
  <c r="A10" i="1"/>
  <c r="A11" i="1"/>
  <c r="A12" i="1"/>
  <c r="A13" i="1"/>
  <c r="A14" i="1"/>
  <c r="A15" i="1"/>
  <c r="A16" i="1"/>
  <c r="A17" i="1"/>
  <c r="D17" i="1"/>
  <c r="E17" i="1"/>
  <c r="F17" i="1"/>
  <c r="D16" i="1"/>
  <c r="E16" i="1"/>
  <c r="F16" i="1"/>
  <c r="D15" i="1"/>
  <c r="E15" i="1"/>
  <c r="F15" i="1"/>
  <c r="D14" i="1"/>
  <c r="E14" i="1"/>
  <c r="F14" i="1"/>
  <c r="D13" i="1"/>
  <c r="E13" i="1"/>
  <c r="F13" i="1"/>
  <c r="D12" i="1"/>
  <c r="E12" i="1"/>
  <c r="F12" i="1"/>
  <c r="D11" i="1"/>
  <c r="E11" i="1"/>
  <c r="F11" i="1"/>
  <c r="D10" i="1"/>
  <c r="E10" i="1"/>
  <c r="F10" i="1"/>
  <c r="D9" i="1"/>
  <c r="E9" i="1"/>
  <c r="F9" i="1"/>
  <c r="D8" i="1"/>
  <c r="E8" i="1"/>
  <c r="F8" i="1"/>
  <c r="D7" i="1"/>
  <c r="E7" i="1"/>
  <c r="F7" i="1"/>
  <c r="F5" i="1"/>
  <c r="F6" i="1"/>
  <c r="F4" i="1"/>
  <c r="D6" i="1"/>
  <c r="E6" i="1"/>
  <c r="E4" i="1"/>
  <c r="E5" i="1"/>
  <c r="D5" i="1"/>
  <c r="B33" i="1" l="1"/>
  <c r="B21" i="1"/>
  <c r="B22" i="1"/>
  <c r="B24" i="1"/>
  <c r="B17" i="1"/>
  <c r="B16" i="1"/>
  <c r="B12" i="1"/>
  <c r="B3" i="1"/>
  <c r="B19" i="1"/>
  <c r="B29" i="1"/>
  <c r="B32" i="1"/>
  <c r="B31" i="1"/>
  <c r="B30" i="1"/>
  <c r="B28" i="1"/>
  <c r="B13" i="1"/>
  <c r="B5" i="1"/>
  <c r="B26" i="1"/>
  <c r="B23" i="1"/>
  <c r="B27" i="1"/>
  <c r="B25" i="1"/>
  <c r="B15" i="1"/>
  <c r="B14" i="1"/>
  <c r="B11" i="1"/>
  <c r="B10" i="1"/>
  <c r="B9" i="1"/>
  <c r="B8" i="1"/>
  <c r="B7" i="1"/>
  <c r="B6" i="1"/>
  <c r="B4" i="1"/>
  <c r="B18" i="1"/>
</calcChain>
</file>

<file path=xl/sharedStrings.xml><?xml version="1.0" encoding="utf-8"?>
<sst xmlns="http://schemas.openxmlformats.org/spreadsheetml/2006/main" count="52" uniqueCount="52">
  <si>
    <t>with leveller, maj7space, mbc, maj7, 64-bit</t>
  </si>
  <si>
    <t>with leveller, maj7space, mbc, maj7, 32-bit</t>
  </si>
  <si>
    <t>with leveller, maj7space, mbc, maj7, 32-bit -- WITH PDB</t>
  </si>
  <si>
    <t>inline svfilter</t>
  </si>
  <si>
    <t>remove redundant data (no change) + remove compensation gain</t>
  </si>
  <si>
    <t>target</t>
  </si>
  <si>
    <t>current unpadded</t>
  </si>
  <si>
    <t>save since last</t>
  </si>
  <si>
    <t>save total</t>
  </si>
  <si>
    <t>balance</t>
  </si>
  <si>
    <t>optimize diode + a bunch of build fixes for 32-bit</t>
  </si>
  <si>
    <t>remove magnitude at frequency &amp; doesSupport</t>
  </si>
  <si>
    <t>dedupe grain cycle</t>
  </si>
  <si>
    <t>biquad remove mag@freq, deinline (wut)</t>
  </si>
  <si>
    <t>more biquad/cascaded biquad tiny tweaks</t>
  </si>
  <si>
    <t>exclude diode &amp; k35 filters</t>
  </si>
  <si>
    <t>simplified SAH core</t>
  </si>
  <si>
    <t>refactored envelope node</t>
  </si>
  <si>
    <t>disable analog &amp; rare models</t>
  </si>
  <si>
    <t>disable folded triangle</t>
  </si>
  <si>
    <t>re-enable analog mix</t>
  </si>
  <si>
    <t>env remove unused fn</t>
  </si>
  <si>
    <t>140 bytes between debug info and not</t>
  </si>
  <si>
    <t>clamp noinline</t>
  </si>
  <si>
    <t>no unique_ptr</t>
  </si>
  <si>
    <t>weird doublepair refact</t>
  </si>
  <si>
    <t>de-inlining vwshape</t>
  </si>
  <si>
    <t>removing uint8_t enum class, now using C++23 standard</t>
  </si>
  <si>
    <t>no butterworth</t>
  </si>
  <si>
    <t>minify exe player (Maj7ConsolePlayer)</t>
  </si>
  <si>
    <t>re-adding butterworth and rare models</t>
  </si>
  <si>
    <t>add progress reporting.</t>
  </si>
  <si>
    <t>add width</t>
  </si>
  <si>
    <t>remove rare models again</t>
  </si>
  <si>
    <t>remove notch &amp; allpass filter impls</t>
  </si>
  <si>
    <t>tiny tweak to butterworth</t>
  </si>
  <si>
    <t>true filter selection in EQ</t>
  </si>
  <si>
    <t>and supporting fixes and code</t>
  </si>
  <si>
    <t>fixing CRT dependencies</t>
  </si>
  <si>
    <t>massive refactor</t>
  </si>
  <si>
    <t>TODO opportunities:</t>
  </si>
  <si>
    <t>driverEnumCallback</t>
  </si>
  <si>
    <t>delay-based allpass, comb, delaybuffer, possibly sampler buffer could probably all share the same code</t>
  </si>
  <si>
    <t>more fixing bugs, display help text</t>
  </si>
  <si>
    <t>removed unnecessary recalc mask</t>
  </si>
  <si>
    <t>removed unnecessary lambda in oscillator ??</t>
  </si>
  <si>
    <t>hardcode recalc masks</t>
  </si>
  <si>
    <t>fixed int/enum serialization (core work: presets still need fixing)</t>
  </si>
  <si>
    <t>and correcting errors / defaults based on that change.</t>
  </si>
  <si>
    <t>adding 2 more mod envs</t>
  </si>
  <si>
    <t>adding 0,1 alternating mod source</t>
  </si>
  <si>
    <t>enabling pitch bend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</si>
</sst>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_ ;[Red]\-0\ "/>
  </numFmts>
  <fonts count="3" x14ac:knownFonts="1">
    <font>
      <sz val="11"/>
      <color theme="1"/>
      <name val="Calibri"/>
      <family val="2"/>
      <scheme val="minor"/>
    </font>
    <font>
      <sz val="8"/>
      <color theme="1"/>
      <name val="Calibri"/>
      <family val="2"/>
      <scheme val="minor"/>
    </font>
    <font>
      <sz val="11"/>
      <color rgb="FF00B05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0" fontId="1" fillId="0" borderId="0" xfId="0" applyFont="1"/>
    <xf numFmtId="164" fontId="2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F08B1-9BA5-43A8-9C7E-633386A766E4}">
  <dimension ref="A1:O48"/>
  <sheetViews>
    <sheetView tabSelected="1" workbookViewId="0">
      <pane ySplit="1" topLeftCell="A8" activePane="bottomLeft" state="frozen"/>
      <selection pane="bottomLeft" activeCell="G45" sqref="G45"/>
    </sheetView>
  </sheetViews>
  <sheetFormatPr defaultRowHeight="15" x14ac:dyDescent="0.25"/>
  <cols>
    <col min="2" max="2" width="45" style="1" bestFit="1" customWidth="1"/>
    <col min="3" max="3" width="17" bestFit="1" customWidth="1"/>
    <col min="4" max="4" width="13.7109375" style="2" bestFit="1" customWidth="1"/>
    <col min="5" max="6" width="6" customWidth="1"/>
  </cols>
  <sheetData>
    <row r="1" spans="1:15" x14ac:dyDescent="0.25">
      <c r="C1" t="s">
        <v>6</v>
      </c>
      <c r="D1" s="2" t="s">
        <v>7</v>
      </c>
      <c r="E1" t="s">
        <v>8</v>
      </c>
      <c r="F1" t="s">
        <v>9</v>
      </c>
    </row>
    <row r="2" spans="1:15" x14ac:dyDescent="0.25">
      <c r="G2" t="s">
        <v>0</v>
      </c>
      <c r="N2" t="s">
        <v>5</v>
      </c>
      <c r="O2">
        <v>32768</v>
      </c>
    </row>
    <row r="3" spans="1:15" x14ac:dyDescent="0.25">
      <c r="A3">
        <f t="shared" ref="A3:A17" si="0">C3-$O$2</f>
        <v>5120</v>
      </c>
      <c r="B3" s="1" t="str">
        <f>REPT("|",A3*60/MAX(A:A))</f>
        <v>||||||||||||||||||||||||||||||||||||||||||||||||||||||</v>
      </c>
      <c r="C3">
        <v>37888</v>
      </c>
      <c r="G3" t="s">
        <v>1</v>
      </c>
      <c r="N3" t="s">
        <v>22</v>
      </c>
    </row>
    <row r="4" spans="1:15" x14ac:dyDescent="0.25">
      <c r="A4">
        <f t="shared" si="0"/>
        <v>5632</v>
      </c>
      <c r="B4" s="1" t="str">
        <f t="shared" ref="B4:B33" si="1">REPT("|",A4*60/MAX(A:A))</f>
        <v>||||||||||||||||||||||||||||||||||||||||||||||||||||||||||||</v>
      </c>
      <c r="C4">
        <v>38400</v>
      </c>
      <c r="E4">
        <f>$C$4-C4</f>
        <v>0</v>
      </c>
      <c r="F4">
        <f>$O$2-C4</f>
        <v>-5632</v>
      </c>
      <c r="G4" t="s">
        <v>2</v>
      </c>
    </row>
    <row r="5" spans="1:15" x14ac:dyDescent="0.25">
      <c r="A5">
        <f t="shared" si="0"/>
        <v>5120</v>
      </c>
      <c r="B5" s="1" t="str">
        <f t="shared" si="1"/>
        <v>||||||||||||||||||||||||||||||||||||||||||||||||||||||</v>
      </c>
      <c r="C5">
        <v>37888</v>
      </c>
      <c r="D5" s="2">
        <f>C4-C5</f>
        <v>512</v>
      </c>
      <c r="E5">
        <f>$C$4-C5</f>
        <v>512</v>
      </c>
      <c r="F5">
        <f t="shared" ref="F5:F6" si="2">$O$2-C5</f>
        <v>-5120</v>
      </c>
      <c r="G5" t="s">
        <v>3</v>
      </c>
    </row>
    <row r="6" spans="1:15" x14ac:dyDescent="0.25">
      <c r="A6">
        <f t="shared" si="0"/>
        <v>4608</v>
      </c>
      <c r="B6" s="1" t="str">
        <f t="shared" si="1"/>
        <v>|||||||||||||||||||||||||||||||||||||||||||||||||</v>
      </c>
      <c r="C6">
        <v>37376</v>
      </c>
      <c r="D6" s="2">
        <f>C5-C6</f>
        <v>512</v>
      </c>
      <c r="E6">
        <f>$C$4-C6</f>
        <v>1024</v>
      </c>
      <c r="F6">
        <f t="shared" si="2"/>
        <v>-4608</v>
      </c>
      <c r="G6" t="s">
        <v>4</v>
      </c>
    </row>
    <row r="7" spans="1:15" x14ac:dyDescent="0.25">
      <c r="A7">
        <f t="shared" si="0"/>
        <v>4624</v>
      </c>
      <c r="B7" s="1" t="str">
        <f t="shared" si="1"/>
        <v>|||||||||||||||||||||||||||||||||||||||||||||||||</v>
      </c>
      <c r="C7">
        <v>37392</v>
      </c>
      <c r="D7" s="2">
        <f t="shared" ref="D7:D34" si="3">C6-C7</f>
        <v>-16</v>
      </c>
      <c r="E7">
        <f>$C$4-C7</f>
        <v>1008</v>
      </c>
      <c r="F7">
        <f>$O$2-C7</f>
        <v>-4624</v>
      </c>
      <c r="G7" t="s">
        <v>10</v>
      </c>
    </row>
    <row r="8" spans="1:15" x14ac:dyDescent="0.25">
      <c r="A8">
        <f t="shared" si="0"/>
        <v>3868</v>
      </c>
      <c r="B8" s="1" t="str">
        <f t="shared" si="1"/>
        <v>|||||||||||||||||||||||||||||||||||||||||</v>
      </c>
      <c r="C8">
        <v>36636</v>
      </c>
      <c r="D8" s="2">
        <f t="shared" si="3"/>
        <v>756</v>
      </c>
      <c r="E8">
        <f t="shared" ref="E8" si="4">$C$4-C8</f>
        <v>1764</v>
      </c>
      <c r="F8">
        <f t="shared" ref="F8" si="5">$O$2-C8</f>
        <v>-3868</v>
      </c>
      <c r="G8" t="s">
        <v>11</v>
      </c>
    </row>
    <row r="9" spans="1:15" x14ac:dyDescent="0.25">
      <c r="A9">
        <f t="shared" si="0"/>
        <v>3856</v>
      </c>
      <c r="B9" s="1" t="str">
        <f t="shared" si="1"/>
        <v>|||||||||||||||||||||||||||||||||||||||||</v>
      </c>
      <c r="C9">
        <v>36624</v>
      </c>
      <c r="D9" s="2">
        <f t="shared" si="3"/>
        <v>12</v>
      </c>
      <c r="E9">
        <f t="shared" ref="E9" si="6">$C$4-C9</f>
        <v>1776</v>
      </c>
      <c r="F9">
        <f t="shared" ref="F9" si="7">$O$2-C9</f>
        <v>-3856</v>
      </c>
      <c r="G9" t="s">
        <v>12</v>
      </c>
    </row>
    <row r="10" spans="1:15" x14ac:dyDescent="0.25">
      <c r="A10">
        <f t="shared" si="0"/>
        <v>3864</v>
      </c>
      <c r="B10" s="1" t="str">
        <f t="shared" si="1"/>
        <v>|||||||||||||||||||||||||||||||||||||||||</v>
      </c>
      <c r="C10">
        <v>36632</v>
      </c>
      <c r="D10" s="2">
        <f t="shared" si="3"/>
        <v>-8</v>
      </c>
      <c r="E10">
        <f t="shared" ref="E10" si="8">$C$4-C10</f>
        <v>1768</v>
      </c>
      <c r="F10">
        <f t="shared" ref="F10" si="9">$O$2-C10</f>
        <v>-3864</v>
      </c>
      <c r="G10" t="s">
        <v>13</v>
      </c>
    </row>
    <row r="11" spans="1:15" x14ac:dyDescent="0.25">
      <c r="A11">
        <f t="shared" si="0"/>
        <v>3880</v>
      </c>
      <c r="B11" s="1" t="str">
        <f t="shared" si="1"/>
        <v>|||||||||||||||||||||||||||||||||||||||||</v>
      </c>
      <c r="C11">
        <v>36648</v>
      </c>
      <c r="D11" s="2">
        <f t="shared" si="3"/>
        <v>-16</v>
      </c>
      <c r="E11">
        <f t="shared" ref="E11" si="10">$C$4-C11</f>
        <v>1752</v>
      </c>
      <c r="F11">
        <f t="shared" ref="F11" si="11">$O$2-C11</f>
        <v>-3880</v>
      </c>
      <c r="G11" t="s">
        <v>14</v>
      </c>
    </row>
    <row r="12" spans="1:15" x14ac:dyDescent="0.25">
      <c r="A12">
        <f t="shared" si="0"/>
        <v>3152</v>
      </c>
      <c r="B12" s="1" t="str">
        <f t="shared" si="1"/>
        <v>|||||||||||||||||||||||||||||||||</v>
      </c>
      <c r="C12">
        <v>35920</v>
      </c>
      <c r="D12" s="2">
        <f t="shared" si="3"/>
        <v>728</v>
      </c>
      <c r="E12">
        <f t="shared" ref="E12" si="12">$C$4-C12</f>
        <v>2480</v>
      </c>
      <c r="F12">
        <f t="shared" ref="F12" si="13">$O$2-C12</f>
        <v>-3152</v>
      </c>
      <c r="G12" t="s">
        <v>15</v>
      </c>
    </row>
    <row r="13" spans="1:15" x14ac:dyDescent="0.25">
      <c r="A13">
        <f t="shared" si="0"/>
        <v>3076</v>
      </c>
      <c r="B13" s="1" t="str">
        <f t="shared" si="1"/>
        <v>||||||||||||||||||||||||||||||||</v>
      </c>
      <c r="C13">
        <v>35844</v>
      </c>
      <c r="D13" s="2">
        <f t="shared" si="3"/>
        <v>76</v>
      </c>
      <c r="E13">
        <f t="shared" ref="E13" si="14">$C$4-C13</f>
        <v>2556</v>
      </c>
      <c r="F13">
        <f t="shared" ref="F13" si="15">$O$2-C13</f>
        <v>-3076</v>
      </c>
      <c r="G13" t="s">
        <v>16</v>
      </c>
    </row>
    <row r="14" spans="1:15" x14ac:dyDescent="0.25">
      <c r="A14">
        <f t="shared" si="0"/>
        <v>3068</v>
      </c>
      <c r="B14" s="1" t="str">
        <f t="shared" si="1"/>
        <v>||||||||||||||||||||||||||||||||</v>
      </c>
      <c r="C14">
        <v>35836</v>
      </c>
      <c r="D14" s="2">
        <f t="shared" si="3"/>
        <v>8</v>
      </c>
      <c r="E14">
        <f t="shared" ref="E14" si="16">$C$4-C14</f>
        <v>2564</v>
      </c>
      <c r="F14">
        <f t="shared" ref="F14" si="17">$O$2-C14</f>
        <v>-3068</v>
      </c>
      <c r="G14" t="s">
        <v>17</v>
      </c>
    </row>
    <row r="15" spans="1:15" x14ac:dyDescent="0.25">
      <c r="A15">
        <f t="shared" si="0"/>
        <v>2824</v>
      </c>
      <c r="B15" s="1" t="str">
        <f t="shared" si="1"/>
        <v>||||||||||||||||||||||||||||||</v>
      </c>
      <c r="C15">
        <v>35592</v>
      </c>
      <c r="D15" s="2">
        <f t="shared" si="3"/>
        <v>244</v>
      </c>
      <c r="E15">
        <f t="shared" ref="E15" si="18">$C$4-C15</f>
        <v>2808</v>
      </c>
      <c r="F15">
        <f t="shared" ref="F15" si="19">$O$2-C15</f>
        <v>-2824</v>
      </c>
      <c r="G15" t="s">
        <v>18</v>
      </c>
    </row>
    <row r="16" spans="1:15" x14ac:dyDescent="0.25">
      <c r="A16">
        <f t="shared" si="0"/>
        <v>1452</v>
      </c>
      <c r="B16" s="1" t="str">
        <f t="shared" si="1"/>
        <v>|||||||||||||||</v>
      </c>
      <c r="C16">
        <v>34220</v>
      </c>
      <c r="D16" s="2">
        <f t="shared" si="3"/>
        <v>1372</v>
      </c>
      <c r="E16">
        <f t="shared" ref="E16" si="20">$C$4-C16</f>
        <v>4180</v>
      </c>
      <c r="F16">
        <f t="shared" ref="F16" si="21">$O$2-C16</f>
        <v>-1452</v>
      </c>
      <c r="G16" t="s">
        <v>19</v>
      </c>
    </row>
    <row r="17" spans="1:7" x14ac:dyDescent="0.25">
      <c r="A17">
        <f t="shared" si="0"/>
        <v>1512</v>
      </c>
      <c r="B17" s="1" t="str">
        <f t="shared" si="1"/>
        <v>||||||||||||||||</v>
      </c>
      <c r="C17">
        <v>34280</v>
      </c>
      <c r="D17" s="2">
        <f t="shared" si="3"/>
        <v>-60</v>
      </c>
      <c r="E17">
        <f t="shared" ref="E17" si="22">$C$4-C17</f>
        <v>4120</v>
      </c>
      <c r="F17">
        <f t="shared" ref="F17" si="23">$O$2-C17</f>
        <v>-1512</v>
      </c>
      <c r="G17" t="s">
        <v>20</v>
      </c>
    </row>
    <row r="18" spans="1:7" x14ac:dyDescent="0.25">
      <c r="A18">
        <f t="shared" ref="A18:A19" si="24">C18-$O$2</f>
        <v>1508</v>
      </c>
      <c r="B18" s="1" t="str">
        <f t="shared" si="1"/>
        <v>||||||||||||||||</v>
      </c>
      <c r="C18">
        <v>34276</v>
      </c>
      <c r="D18" s="2">
        <f t="shared" si="3"/>
        <v>4</v>
      </c>
      <c r="E18">
        <f t="shared" ref="E18" si="25">$C$4-C18</f>
        <v>4124</v>
      </c>
      <c r="F18">
        <f t="shared" ref="F18" si="26">$O$2-C18</f>
        <v>-1508</v>
      </c>
      <c r="G18" t="s">
        <v>21</v>
      </c>
    </row>
    <row r="19" spans="1:7" x14ac:dyDescent="0.25">
      <c r="A19">
        <f t="shared" si="24"/>
        <v>1424</v>
      </c>
      <c r="B19" s="1" t="str">
        <f t="shared" si="1"/>
        <v>|||||||||||||||</v>
      </c>
      <c r="C19">
        <v>34192</v>
      </c>
      <c r="D19" s="2">
        <f t="shared" si="3"/>
        <v>84</v>
      </c>
      <c r="E19">
        <f t="shared" ref="E19" si="27">$C$4-C19</f>
        <v>4208</v>
      </c>
      <c r="F19">
        <f t="shared" ref="F19" si="28">$O$2-C19</f>
        <v>-1424</v>
      </c>
      <c r="G19" t="s">
        <v>23</v>
      </c>
    </row>
    <row r="20" spans="1:7" x14ac:dyDescent="0.25">
      <c r="A20">
        <f t="shared" ref="A20:A21" si="29">C20-$O$2</f>
        <v>1420</v>
      </c>
      <c r="B20" s="1" t="str">
        <f t="shared" si="1"/>
        <v>|||||||||||||||</v>
      </c>
      <c r="C20">
        <v>34188</v>
      </c>
      <c r="D20" s="2">
        <f t="shared" si="3"/>
        <v>4</v>
      </c>
      <c r="E20">
        <f t="shared" ref="E20" si="30">$C$4-C20</f>
        <v>4212</v>
      </c>
      <c r="F20">
        <f t="shared" ref="F20" si="31">$O$2-C20</f>
        <v>-1420</v>
      </c>
      <c r="G20" t="s">
        <v>24</v>
      </c>
    </row>
    <row r="21" spans="1:7" x14ac:dyDescent="0.25">
      <c r="A21">
        <f t="shared" si="29"/>
        <v>1364</v>
      </c>
      <c r="B21" s="1" t="str">
        <f t="shared" si="1"/>
        <v>||||||||||||||</v>
      </c>
      <c r="C21">
        <v>34132</v>
      </c>
      <c r="D21" s="2">
        <f t="shared" si="3"/>
        <v>56</v>
      </c>
      <c r="E21">
        <f t="shared" ref="E21" si="32">$C$4-C21</f>
        <v>4268</v>
      </c>
      <c r="F21">
        <f t="shared" ref="F21" si="33">$O$2-C21</f>
        <v>-1364</v>
      </c>
      <c r="G21" t="s">
        <v>25</v>
      </c>
    </row>
    <row r="22" spans="1:7" x14ac:dyDescent="0.25">
      <c r="A22">
        <f t="shared" ref="A22" si="34">C22-$O$2</f>
        <v>1272</v>
      </c>
      <c r="B22" s="1" t="str">
        <f t="shared" si="1"/>
        <v>|||||||||||||</v>
      </c>
      <c r="C22">
        <v>34040</v>
      </c>
      <c r="D22" s="2">
        <f t="shared" si="3"/>
        <v>92</v>
      </c>
      <c r="E22">
        <f t="shared" ref="E22" si="35">$C$4-C22</f>
        <v>4360</v>
      </c>
      <c r="F22">
        <f t="shared" ref="F22" si="36">$O$2-C22</f>
        <v>-1272</v>
      </c>
      <c r="G22" t="s">
        <v>26</v>
      </c>
    </row>
    <row r="23" spans="1:7" x14ac:dyDescent="0.25">
      <c r="A23">
        <f t="shared" ref="A23" si="37">C23-$O$2</f>
        <v>1256</v>
      </c>
      <c r="B23" s="1" t="str">
        <f t="shared" si="1"/>
        <v>|||||||||||||</v>
      </c>
      <c r="C23">
        <v>34024</v>
      </c>
      <c r="D23" s="2">
        <f t="shared" si="3"/>
        <v>16</v>
      </c>
      <c r="E23">
        <f t="shared" ref="E23" si="38">$C$4-C23</f>
        <v>4376</v>
      </c>
      <c r="F23">
        <f t="shared" ref="F23" si="39">$O$2-C23</f>
        <v>-1256</v>
      </c>
      <c r="G23" t="s">
        <v>27</v>
      </c>
    </row>
    <row r="24" spans="1:7" x14ac:dyDescent="0.25">
      <c r="A24">
        <f t="shared" ref="A24" si="40">C24-$O$2</f>
        <v>1108</v>
      </c>
      <c r="B24" s="1" t="str">
        <f t="shared" si="1"/>
        <v>|||||||||||</v>
      </c>
      <c r="C24">
        <v>33876</v>
      </c>
      <c r="D24" s="2">
        <f t="shared" si="3"/>
        <v>148</v>
      </c>
      <c r="E24">
        <f t="shared" ref="E24" si="41">$C$4-C24</f>
        <v>4524</v>
      </c>
      <c r="F24">
        <f t="shared" ref="F24" si="42">$O$2-C24</f>
        <v>-1108</v>
      </c>
      <c r="G24" t="s">
        <v>28</v>
      </c>
    </row>
    <row r="25" spans="1:7" x14ac:dyDescent="0.25">
      <c r="A25">
        <f t="shared" ref="A25:A26" si="43">C25-$O$2</f>
        <v>-428</v>
      </c>
      <c r="B25" s="1" t="e">
        <f t="shared" si="1"/>
        <v>#VALUE!</v>
      </c>
      <c r="C25">
        <v>32340</v>
      </c>
      <c r="D25" s="2">
        <f t="shared" si="3"/>
        <v>1536</v>
      </c>
      <c r="E25">
        <f t="shared" ref="E25" si="44">$C$4-C25</f>
        <v>6060</v>
      </c>
      <c r="F25">
        <f t="shared" ref="F25" si="45">$O$2-C25</f>
        <v>428</v>
      </c>
      <c r="G25" t="s">
        <v>29</v>
      </c>
    </row>
    <row r="26" spans="1:7" x14ac:dyDescent="0.25">
      <c r="A26">
        <f t="shared" si="43"/>
        <v>-132</v>
      </c>
      <c r="B26" s="1" t="e">
        <f t="shared" si="1"/>
        <v>#VALUE!</v>
      </c>
      <c r="C26">
        <v>32636</v>
      </c>
      <c r="D26" s="2">
        <f t="shared" si="3"/>
        <v>-296</v>
      </c>
      <c r="E26">
        <f t="shared" ref="E26" si="46">$C$4-C26</f>
        <v>5764</v>
      </c>
      <c r="F26">
        <f t="shared" ref="F26" si="47">$O$2-C26</f>
        <v>132</v>
      </c>
      <c r="G26" t="s">
        <v>30</v>
      </c>
    </row>
    <row r="27" spans="1:7" x14ac:dyDescent="0.25">
      <c r="A27">
        <f t="shared" ref="A27:A33" si="48">C27-$O$2</f>
        <v>-56</v>
      </c>
      <c r="B27" s="1" t="e">
        <f t="shared" si="1"/>
        <v>#VALUE!</v>
      </c>
      <c r="C27">
        <v>32712</v>
      </c>
      <c r="D27" s="2">
        <f t="shared" si="3"/>
        <v>-76</v>
      </c>
      <c r="E27">
        <f t="shared" ref="E27" si="49">$C$4-C27</f>
        <v>5688</v>
      </c>
      <c r="F27">
        <f t="shared" ref="F27" si="50">$O$2-C27</f>
        <v>56</v>
      </c>
      <c r="G27" t="s">
        <v>31</v>
      </c>
    </row>
    <row r="28" spans="1:7" x14ac:dyDescent="0.25">
      <c r="A28">
        <f t="shared" si="48"/>
        <v>140</v>
      </c>
      <c r="B28" s="1" t="str">
        <f t="shared" si="1"/>
        <v>|</v>
      </c>
      <c r="C28">
        <v>32908</v>
      </c>
      <c r="D28" s="2">
        <f t="shared" si="3"/>
        <v>-196</v>
      </c>
      <c r="E28">
        <f t="shared" ref="E28" si="51">$C$4-C28</f>
        <v>5492</v>
      </c>
      <c r="F28">
        <f t="shared" ref="F28" si="52">$O$2-C28</f>
        <v>-140</v>
      </c>
      <c r="G28" t="s">
        <v>32</v>
      </c>
    </row>
    <row r="29" spans="1:7" x14ac:dyDescent="0.25">
      <c r="A29">
        <f t="shared" si="48"/>
        <v>12</v>
      </c>
      <c r="B29" s="1" t="str">
        <f t="shared" si="1"/>
        <v/>
      </c>
      <c r="C29">
        <v>32780</v>
      </c>
      <c r="D29" s="2">
        <f t="shared" si="3"/>
        <v>128</v>
      </c>
      <c r="E29">
        <f t="shared" ref="E29" si="53">$C$4-C29</f>
        <v>5620</v>
      </c>
      <c r="F29">
        <f t="shared" ref="F29" si="54">$O$2-C29</f>
        <v>-12</v>
      </c>
      <c r="G29" t="s">
        <v>33</v>
      </c>
    </row>
    <row r="30" spans="1:7" x14ac:dyDescent="0.25">
      <c r="A30">
        <f t="shared" si="48"/>
        <v>-32</v>
      </c>
      <c r="B30" s="1" t="e">
        <f t="shared" si="1"/>
        <v>#VALUE!</v>
      </c>
      <c r="C30">
        <v>32736</v>
      </c>
      <c r="D30" s="2">
        <f t="shared" si="3"/>
        <v>44</v>
      </c>
      <c r="E30">
        <f t="shared" ref="E30" si="55">$C$4-C30</f>
        <v>5664</v>
      </c>
      <c r="F30">
        <f t="shared" ref="F30" si="56">$O$2-C30</f>
        <v>32</v>
      </c>
      <c r="G30" t="s">
        <v>34</v>
      </c>
    </row>
    <row r="31" spans="1:7" x14ac:dyDescent="0.25">
      <c r="A31">
        <f t="shared" si="48"/>
        <v>-36</v>
      </c>
      <c r="B31" s="1" t="e">
        <f t="shared" si="1"/>
        <v>#VALUE!</v>
      </c>
      <c r="C31">
        <v>32732</v>
      </c>
      <c r="D31" s="2">
        <f t="shared" si="3"/>
        <v>4</v>
      </c>
      <c r="E31">
        <f t="shared" ref="E31" si="57">$C$4-C31</f>
        <v>5668</v>
      </c>
      <c r="F31">
        <f t="shared" ref="F31" si="58">$O$2-C31</f>
        <v>36</v>
      </c>
      <c r="G31" t="s">
        <v>35</v>
      </c>
    </row>
    <row r="32" spans="1:7" x14ac:dyDescent="0.25">
      <c r="A32">
        <f t="shared" si="48"/>
        <v>48</v>
      </c>
      <c r="B32" s="1" t="str">
        <f t="shared" si="1"/>
        <v/>
      </c>
      <c r="C32">
        <v>32816</v>
      </c>
      <c r="D32" s="2">
        <f t="shared" si="3"/>
        <v>-84</v>
      </c>
      <c r="E32">
        <f t="shared" ref="E32" si="59">$C$4-C32</f>
        <v>5584</v>
      </c>
      <c r="F32">
        <f t="shared" ref="F32" si="60">$O$2-C32</f>
        <v>-48</v>
      </c>
      <c r="G32" t="s">
        <v>36</v>
      </c>
    </row>
    <row r="33" spans="1:7" x14ac:dyDescent="0.25">
      <c r="A33">
        <f t="shared" si="48"/>
        <v>96</v>
      </c>
      <c r="B33" s="1" t="str">
        <f t="shared" si="1"/>
        <v>|</v>
      </c>
      <c r="C33">
        <v>32864</v>
      </c>
      <c r="D33" s="2">
        <f t="shared" si="3"/>
        <v>-48</v>
      </c>
      <c r="E33">
        <f t="shared" ref="E33" si="61">$C$4-C33</f>
        <v>5536</v>
      </c>
      <c r="F33">
        <f t="shared" ref="F33" si="62">$O$2-C33</f>
        <v>-96</v>
      </c>
      <c r="G33" t="s">
        <v>37</v>
      </c>
    </row>
    <row r="34" spans="1:7" x14ac:dyDescent="0.25">
      <c r="C34">
        <v>32792</v>
      </c>
      <c r="D34" s="2">
        <f t="shared" si="3"/>
        <v>72</v>
      </c>
      <c r="E34">
        <f t="shared" ref="E34" si="63">$C$4-C34</f>
        <v>5608</v>
      </c>
      <c r="F34">
        <f t="shared" ref="F34" si="64">$O$2-C34</f>
        <v>-24</v>
      </c>
      <c r="G34" t="s">
        <v>38</v>
      </c>
    </row>
    <row r="35" spans="1:7" x14ac:dyDescent="0.25">
      <c r="C35">
        <v>32808</v>
      </c>
      <c r="D35" s="2">
        <f t="shared" ref="D35" si="65">C34-C35</f>
        <v>-16</v>
      </c>
      <c r="E35">
        <f t="shared" ref="E35" si="66">$C$4-C35</f>
        <v>5592</v>
      </c>
      <c r="F35">
        <f t="shared" ref="F35" si="67">$O$2-C35</f>
        <v>-40</v>
      </c>
      <c r="G35" t="s">
        <v>39</v>
      </c>
    </row>
    <row r="36" spans="1:7" x14ac:dyDescent="0.25">
      <c r="C36">
        <v>32812</v>
      </c>
      <c r="D36" s="2">
        <f t="shared" ref="D36" si="68">C35-C36</f>
        <v>-4</v>
      </c>
      <c r="E36">
        <f t="shared" ref="E36" si="69">$C$4-C36</f>
        <v>5588</v>
      </c>
      <c r="F36">
        <f t="shared" ref="F36" si="70">$O$2-C36</f>
        <v>-44</v>
      </c>
      <c r="G36" t="s">
        <v>43</v>
      </c>
    </row>
    <row r="37" spans="1:7" x14ac:dyDescent="0.25">
      <c r="C37">
        <v>32788</v>
      </c>
      <c r="D37" s="2">
        <f t="shared" ref="D37" si="71">C36-C37</f>
        <v>24</v>
      </c>
      <c r="E37">
        <f t="shared" ref="E37" si="72">$C$4-C37</f>
        <v>5612</v>
      </c>
      <c r="F37">
        <f t="shared" ref="F37" si="73">$O$2-C37</f>
        <v>-20</v>
      </c>
      <c r="G37" t="s">
        <v>44</v>
      </c>
    </row>
    <row r="38" spans="1:7" x14ac:dyDescent="0.25">
      <c r="C38">
        <v>32768</v>
      </c>
      <c r="D38" s="2">
        <f t="shared" ref="D38" si="74">C37-C38</f>
        <v>20</v>
      </c>
      <c r="E38">
        <f t="shared" ref="E38" si="75">$C$4-C38</f>
        <v>5632</v>
      </c>
      <c r="F38">
        <f t="shared" ref="F38" si="76">$O$2-C38</f>
        <v>0</v>
      </c>
      <c r="G38" t="s">
        <v>45</v>
      </c>
    </row>
    <row r="39" spans="1:7" x14ac:dyDescent="0.25">
      <c r="C39">
        <v>32712</v>
      </c>
      <c r="D39" s="2">
        <f t="shared" ref="D39" si="77">C38-C39</f>
        <v>56</v>
      </c>
      <c r="E39">
        <f t="shared" ref="E39" si="78">$C$4-C39</f>
        <v>5688</v>
      </c>
      <c r="F39">
        <f t="shared" ref="F39" si="79">$O$2-C39</f>
        <v>56</v>
      </c>
      <c r="G39" t="s">
        <v>46</v>
      </c>
    </row>
    <row r="40" spans="1:7" x14ac:dyDescent="0.25">
      <c r="C40">
        <v>32656</v>
      </c>
      <c r="D40" s="2">
        <f t="shared" ref="D40" si="80">C39-C40</f>
        <v>56</v>
      </c>
      <c r="E40">
        <f t="shared" ref="E40" si="81">$C$4-C40</f>
        <v>5744</v>
      </c>
      <c r="F40">
        <f t="shared" ref="F40" si="82">$O$2-C40</f>
        <v>112</v>
      </c>
      <c r="G40" t="s">
        <v>47</v>
      </c>
    </row>
    <row r="41" spans="1:7" x14ac:dyDescent="0.25">
      <c r="C41">
        <v>32672</v>
      </c>
      <c r="D41" s="2">
        <f t="shared" ref="D41" si="83">C40-C41</f>
        <v>-16</v>
      </c>
      <c r="E41">
        <f t="shared" ref="E41" si="84">$C$4-C41</f>
        <v>5728</v>
      </c>
      <c r="F41">
        <f t="shared" ref="F41" si="85">$O$2-C41</f>
        <v>96</v>
      </c>
      <c r="G41" t="s">
        <v>48</v>
      </c>
    </row>
    <row r="42" spans="1:7" x14ac:dyDescent="0.25">
      <c r="C42">
        <v>32668</v>
      </c>
      <c r="D42" s="2">
        <f t="shared" ref="D42" si="86">C41-C42</f>
        <v>4</v>
      </c>
      <c r="E42">
        <f t="shared" ref="E42" si="87">$C$4-C42</f>
        <v>5732</v>
      </c>
      <c r="F42">
        <f t="shared" ref="F42" si="88">$O$2-C42</f>
        <v>100</v>
      </c>
      <c r="G42" t="s">
        <v>49</v>
      </c>
    </row>
    <row r="43" spans="1:7" x14ac:dyDescent="0.25">
      <c r="C43">
        <v>32688</v>
      </c>
      <c r="D43" s="2">
        <f t="shared" ref="D43" si="89">C42-C43</f>
        <v>-20</v>
      </c>
      <c r="E43">
        <f t="shared" ref="E43" si="90">$C$4-C43</f>
        <v>5712</v>
      </c>
      <c r="F43">
        <f t="shared" ref="F43" si="91">$O$2-C43</f>
        <v>80</v>
      </c>
      <c r="G43" t="s">
        <v>50</v>
      </c>
    </row>
    <row r="44" spans="1:7" x14ac:dyDescent="0.25">
      <c r="C44">
        <v>32712</v>
      </c>
      <c r="D44" s="2">
        <f t="shared" ref="D44" si="92">C43-C44</f>
        <v>-24</v>
      </c>
      <c r="E44">
        <f t="shared" ref="E44" si="93">$C$4-C44</f>
        <v>5688</v>
      </c>
      <c r="F44">
        <f t="shared" ref="F44" si="94">$O$2-C44</f>
        <v>56</v>
      </c>
      <c r="G44" t="s">
        <v>51</v>
      </c>
    </row>
    <row r="46" spans="1:7" x14ac:dyDescent="0.25">
      <c r="G46" t="s">
        <v>40</v>
      </c>
    </row>
    <row r="47" spans="1:7" x14ac:dyDescent="0.25">
      <c r="G47" t="s">
        <v>41</v>
      </c>
    </row>
    <row r="48" spans="1:7" x14ac:dyDescent="0.25">
      <c r="G48" t="s">
        <v>42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Carl Corcoran</dc:creator>
  <cp:lastModifiedBy>Carl Corcoran</cp:lastModifiedBy>
  <dcterms:created xsi:type="dcterms:W3CDTF">2026-03-01T10:07:45Z</dcterms:created>
  <dcterms:modified xsi:type="dcterms:W3CDTF">2026-03-05T08:42:02Z</dcterms:modified>
</cp:coreProperties>
</file>