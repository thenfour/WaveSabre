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719BC422-D260-4FC1-9426-88D24932FF1E}" xr6:coauthVersionLast="47" xr6:coauthVersionMax="47" xr10:uidLastSave="{00000000-0000-0000-0000-000000000000}"/>
  <bookViews>
    <workbookView xWindow="9585" yWindow="2340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8" i="1" l="1"/>
  <c r="E48" i="1"/>
  <c r="F48" i="1"/>
  <c r="A34" i="1"/>
  <c r="A35" i="1"/>
  <c r="A36" i="1"/>
  <c r="B42" i="1" s="1"/>
  <c r="A37" i="1"/>
  <c r="B37" i="1"/>
  <c r="A38" i="1"/>
  <c r="A39" i="1"/>
  <c r="A40" i="1"/>
  <c r="A41" i="1"/>
  <c r="A42" i="1"/>
  <c r="A43" i="1"/>
  <c r="A44" i="1"/>
  <c r="A45" i="1"/>
  <c r="B45" i="1" s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46" i="1" l="1"/>
  <c r="B36" i="1"/>
  <c r="B35" i="1"/>
  <c r="B20" i="1"/>
  <c r="B44" i="1"/>
  <c r="B43" i="1"/>
  <c r="B40" i="1"/>
  <c r="B47" i="1"/>
  <c r="B38" i="1"/>
  <c r="B34" i="1"/>
  <c r="B41" i="1"/>
  <c r="B39" i="1"/>
  <c r="B33" i="1"/>
  <c r="B21" i="1"/>
  <c r="B22" i="1"/>
  <c r="B24" i="1"/>
  <c r="B17" i="1"/>
  <c r="B16" i="1"/>
  <c r="B12" i="1"/>
  <c r="B3" i="1"/>
  <c r="B19" i="1"/>
  <c r="B29" i="1"/>
  <c r="B32" i="1"/>
  <c r="B31" i="1"/>
  <c r="B30" i="1"/>
  <c r="B28" i="1"/>
  <c r="B13" i="1"/>
  <c r="B5" i="1"/>
  <c r="B26" i="1"/>
  <c r="B23" i="1"/>
  <c r="B27" i="1"/>
  <c r="B25" i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<sst xmlns="http://schemas.openxmlformats.org/spreadsheetml/2006/main" count="56" uniqueCount="56">
  <si>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</si>
  <si>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</si>
  <si>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</si>
  <si>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</si>
  <si>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</si>
  <si>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</si>
  <si>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</si>
  <si>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</si>
  <si>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</si>
  <si>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</si>
  <si>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</si>
  <si>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</si>
  <si>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</si>
  <si>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</si>
  <si>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</si>
  <si>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</si>
  <si>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</si>
  <si>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</si>
  <si>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</si>
  <si>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</si>
  <si>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</si>
  <si>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</si>
  <si>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</si>
  <si>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</si>
  <si>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</si>
  <si>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</si>
  <si>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</si>
  <si>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</si>
  <si>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</si>
  <si>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</si>
  <si>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</si>
  <si>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</si>
  <si>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</si>
  <si>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</si>
  <si>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</si>
  <si>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</si>
  <si>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</si>
  <si>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</si>
  <si>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</si>
  <si>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</si>
  <si>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TODO opportunities:</t>
  </si>
  <si>
    <t>driverEnumCallback</t>
  </si>
  <si>
    <t>delay-based allpass, comb, delaybuffer, possibly sampler buffer could probably all share the same code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</si>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</sst>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56"/>
  <sheetViews>
    <sheetView tabSelected="1" workbookViewId="0">
      <pane ySplit="1" topLeftCell="A23" activePane="bottomLeft" state="frozen"/>
      <selection pane="bottomLeft" activeCell="C48" sqref="C48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3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|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|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A34">
        <f t="shared" ref="A34:A47" si="63">C34-$O$2</f>
        <v>24</v>
      </c>
      <c r="B34" s="1" t="str">
        <f t="shared" ref="B34:B47" si="64">REPT("|",A34*60/MAX(A:A))</f>
        <v/>
      </c>
      <c r="C34">
        <v>32792</v>
      </c>
      <c r="D34" s="2">
        <f t="shared" si="3"/>
        <v>72</v>
      </c>
      <c r="E34">
        <f t="shared" ref="E34" si="65">$C$4-C34</f>
        <v>5608</v>
      </c>
      <c r="F34">
        <f t="shared" ref="F34" si="66">$O$2-C34</f>
        <v>-24</v>
      </c>
      <c r="G34" t="s">
        <v>38</v>
      </c>
    </row>
    <row r="35" spans="1:7" x14ac:dyDescent="0.25">
      <c r="A35">
        <f t="shared" si="63"/>
        <v>40</v>
      </c>
      <c r="B35" s="1" t="str">
        <f t="shared" si="64"/>
        <v/>
      </c>
      <c r="C35">
        <v>32808</v>
      </c>
      <c r="D35" s="2">
        <f t="shared" ref="D35" si="67">C34-C35</f>
        <v>-16</v>
      </c>
      <c r="E35">
        <f t="shared" ref="E35" si="68">$C$4-C35</f>
        <v>5592</v>
      </c>
      <c r="F35">
        <f t="shared" ref="F35" si="69">$O$2-C35</f>
        <v>-40</v>
      </c>
      <c r="G35" t="s">
        <v>39</v>
      </c>
    </row>
    <row r="36" spans="1:7" x14ac:dyDescent="0.25">
      <c r="A36">
        <f t="shared" si="63"/>
        <v>44</v>
      </c>
      <c r="B36" s="1" t="str">
        <f t="shared" si="64"/>
        <v/>
      </c>
      <c r="C36">
        <v>32812</v>
      </c>
      <c r="D36" s="2">
        <f t="shared" ref="D36" si="70">C35-C36</f>
        <v>-4</v>
      </c>
      <c r="E36">
        <f t="shared" ref="E36" si="71">$C$4-C36</f>
        <v>5588</v>
      </c>
      <c r="F36">
        <f t="shared" ref="F36" si="72">$O$2-C36</f>
        <v>-44</v>
      </c>
      <c r="G36" t="s">
        <v>43</v>
      </c>
    </row>
    <row r="37" spans="1:7" x14ac:dyDescent="0.25">
      <c r="A37">
        <f t="shared" si="63"/>
        <v>20</v>
      </c>
      <c r="B37" s="1" t="str">
        <f t="shared" si="64"/>
        <v/>
      </c>
      <c r="C37">
        <v>32788</v>
      </c>
      <c r="D37" s="2">
        <f t="shared" ref="D37" si="73">C36-C37</f>
        <v>24</v>
      </c>
      <c r="E37">
        <f t="shared" ref="E37" si="74">$C$4-C37</f>
        <v>5612</v>
      </c>
      <c r="F37">
        <f t="shared" ref="F37" si="75">$O$2-C37</f>
        <v>-20</v>
      </c>
      <c r="G37" t="s">
        <v>44</v>
      </c>
    </row>
    <row r="38" spans="1:7" x14ac:dyDescent="0.25">
      <c r="A38">
        <f t="shared" si="63"/>
        <v>0</v>
      </c>
      <c r="B38" s="1" t="str">
        <f t="shared" si="64"/>
        <v/>
      </c>
      <c r="C38">
        <v>32768</v>
      </c>
      <c r="D38" s="2">
        <f t="shared" ref="D38" si="76">C37-C38</f>
        <v>20</v>
      </c>
      <c r="E38">
        <f t="shared" ref="E38" si="77">$C$4-C38</f>
        <v>5632</v>
      </c>
      <c r="F38">
        <f t="shared" ref="F38" si="78">$O$2-C38</f>
        <v>0</v>
      </c>
      <c r="G38" t="s">
        <v>45</v>
      </c>
    </row>
    <row r="39" spans="1:7" x14ac:dyDescent="0.25">
      <c r="A39">
        <f t="shared" si="63"/>
        <v>-56</v>
      </c>
      <c r="B39" s="1" t="e">
        <f t="shared" si="64"/>
        <v>#VALUE!</v>
      </c>
      <c r="C39">
        <v>32712</v>
      </c>
      <c r="D39" s="2">
        <f t="shared" ref="D39" si="79">C38-C39</f>
        <v>56</v>
      </c>
      <c r="E39">
        <f t="shared" ref="E39" si="80">$C$4-C39</f>
        <v>5688</v>
      </c>
      <c r="F39">
        <f t="shared" ref="F39" si="81">$O$2-C39</f>
        <v>56</v>
      </c>
      <c r="G39" t="s">
        <v>46</v>
      </c>
    </row>
    <row r="40" spans="1:7" x14ac:dyDescent="0.25">
      <c r="A40">
        <f t="shared" si="63"/>
        <v>-112</v>
      </c>
      <c r="B40" s="1" t="e">
        <f t="shared" si="64"/>
        <v>#VALUE!</v>
      </c>
      <c r="C40">
        <v>32656</v>
      </c>
      <c r="D40" s="2">
        <f t="shared" ref="D40" si="82">C39-C40</f>
        <v>56</v>
      </c>
      <c r="E40">
        <f t="shared" ref="E40" si="83">$C$4-C40</f>
        <v>5744</v>
      </c>
      <c r="F40">
        <f t="shared" ref="F40" si="84">$O$2-C40</f>
        <v>112</v>
      </c>
      <c r="G40" t="s">
        <v>47</v>
      </c>
    </row>
    <row r="41" spans="1:7" x14ac:dyDescent="0.25">
      <c r="A41">
        <f t="shared" si="63"/>
        <v>-96</v>
      </c>
      <c r="B41" s="1" t="e">
        <f t="shared" si="64"/>
        <v>#VALUE!</v>
      </c>
      <c r="C41">
        <v>32672</v>
      </c>
      <c r="D41" s="2">
        <f t="shared" ref="D41" si="85">C40-C41</f>
        <v>-16</v>
      </c>
      <c r="E41">
        <f t="shared" ref="E41" si="86">$C$4-C41</f>
        <v>5728</v>
      </c>
      <c r="F41">
        <f t="shared" ref="F41" si="87">$O$2-C41</f>
        <v>96</v>
      </c>
      <c r="G41" t="s">
        <v>48</v>
      </c>
    </row>
    <row r="42" spans="1:7" x14ac:dyDescent="0.25">
      <c r="A42">
        <f t="shared" si="63"/>
        <v>-100</v>
      </c>
      <c r="B42" s="1" t="e">
        <f t="shared" si="64"/>
        <v>#VALUE!</v>
      </c>
      <c r="C42">
        <v>32668</v>
      </c>
      <c r="D42" s="2">
        <f t="shared" ref="D42" si="88">C41-C42</f>
        <v>4</v>
      </c>
      <c r="E42">
        <f t="shared" ref="E42" si="89">$C$4-C42</f>
        <v>5732</v>
      </c>
      <c r="F42">
        <f t="shared" ref="F42" si="90">$O$2-C42</f>
        <v>100</v>
      </c>
      <c r="G42" t="s">
        <v>49</v>
      </c>
    </row>
    <row r="43" spans="1:7" x14ac:dyDescent="0.25">
      <c r="A43">
        <f t="shared" si="63"/>
        <v>-80</v>
      </c>
      <c r="B43" s="1" t="e">
        <f t="shared" si="64"/>
        <v>#VALUE!</v>
      </c>
      <c r="C43">
        <v>32688</v>
      </c>
      <c r="D43" s="2">
        <f t="shared" ref="D43" si="91">C42-C43</f>
        <v>-20</v>
      </c>
      <c r="E43">
        <f t="shared" ref="E43" si="92">$C$4-C43</f>
        <v>5712</v>
      </c>
      <c r="F43">
        <f t="shared" ref="F43" si="93">$O$2-C43</f>
        <v>80</v>
      </c>
      <c r="G43" t="s">
        <v>50</v>
      </c>
    </row>
    <row r="44" spans="1:7" x14ac:dyDescent="0.25">
      <c r="A44">
        <f t="shared" si="63"/>
        <v>-56</v>
      </c>
      <c r="B44" s="1" t="e">
        <f t="shared" si="64"/>
        <v>#VALUE!</v>
      </c>
      <c r="C44">
        <v>32712</v>
      </c>
      <c r="D44" s="2">
        <f t="shared" ref="D44" si="94">C43-C44</f>
        <v>-24</v>
      </c>
      <c r="E44">
        <f t="shared" ref="E44" si="95">$C$4-C44</f>
        <v>5688</v>
      </c>
      <c r="F44">
        <f t="shared" ref="F44" si="96">$O$2-C44</f>
        <v>56</v>
      </c>
      <c r="G44" t="s">
        <v>51</v>
      </c>
    </row>
    <row r="45" spans="1:7" x14ac:dyDescent="0.25">
      <c r="A45">
        <f t="shared" si="63"/>
        <v>56</v>
      </c>
      <c r="B45" s="1" t="str">
        <f t="shared" si="64"/>
        <v/>
      </c>
      <c r="C45">
        <v>32824</v>
      </c>
      <c r="D45" s="2">
        <f t="shared" ref="D45" si="97">C44-C45</f>
        <v>-112</v>
      </c>
      <c r="E45">
        <f t="shared" ref="E45" si="98">$C$4-C45</f>
        <v>5576</v>
      </c>
      <c r="F45">
        <f t="shared" ref="F45" si="99">$O$2-C45</f>
        <v>-56</v>
      </c>
      <c r="G45" t="s">
        <v>52</v>
      </c>
    </row>
    <row r="46" spans="1:7" x14ac:dyDescent="0.25">
      <c r="A46">
        <f t="shared" si="63"/>
        <v>-12</v>
      </c>
      <c r="B46" s="1" t="e">
        <f t="shared" si="64"/>
        <v>#VALUE!</v>
      </c>
      <c r="C46">
        <v>32756</v>
      </c>
      <c r="D46" s="2">
        <f t="shared" ref="D46" si="100">C45-C46</f>
        <v>68</v>
      </c>
      <c r="E46">
        <f t="shared" ref="E46" si="101">$C$4-C46</f>
        <v>5644</v>
      </c>
      <c r="F46">
        <f t="shared" ref="F46" si="102">$O$2-C46</f>
        <v>12</v>
      </c>
      <c r="G46" t="s">
        <v>53</v>
      </c>
    </row>
    <row r="47" spans="1:7" x14ac:dyDescent="0.25">
      <c r="A47">
        <f t="shared" si="63"/>
        <v>36</v>
      </c>
      <c r="B47" s="1" t="str">
        <f t="shared" si="64"/>
        <v/>
      </c>
      <c r="C47">
        <v>32804</v>
      </c>
      <c r="D47" s="2">
        <f t="shared" ref="D47" si="103">C46-C47</f>
        <v>-48</v>
      </c>
      <c r="E47">
        <f t="shared" ref="E47" si="104">$C$4-C47</f>
        <v>5596</v>
      </c>
      <c r="F47">
        <f t="shared" ref="F47" si="105">$O$2-C47</f>
        <v>-36</v>
      </c>
      <c r="G47" t="s">
        <v>54</v>
      </c>
    </row>
    <row r="48" spans="1:7" x14ac:dyDescent="0.25"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24</v>
      </c>
      <c r="G48" t="s">
        <v>55</v>
      </c>
    </row>
    <row r="54" spans="7:7" x14ac:dyDescent="0.25">
      <c r="G54" t="s">
        <v>40</v>
      </c>
    </row>
    <row r="55" spans="7:7" x14ac:dyDescent="0.25">
      <c r="G55" t="s">
        <v>41</v>
      </c>
    </row>
    <row r="56" spans="7:7" x14ac:dyDescent="0.25">
      <c r="G56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2026-03-10T09:52:38Z</dcterms:modified>
</cp:coreProperties>
</file>