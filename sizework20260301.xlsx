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ot\git\thenfour\WaveSabre\"/>
    </mc:Choice>
  </mc:AlternateContent>
  <xr:revisionPtr revIDLastSave="0" documentId="13_ncr:1_{F3B098F0-16D8-4CBC-919E-3AA92A5D9C83}" xr6:coauthVersionLast="47" xr6:coauthVersionMax="47" xr10:uidLastSave="{00000000-0000-0000-0000-000000000000}"/>
  <bookViews>
    <workbookView xWindow="11175" yWindow="1620" windowWidth="25005" windowHeight="16545" xr2:uid="{57C643F4-F52E-40AC-8074-51E8A42F9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A74" i="1"/>
  <c r="A75" i="1"/>
  <c r="D75" i="1"/>
  <c r="E75" i="1"/>
  <c r="F75" i="1"/>
  <c r="D74" i="1"/>
  <c r="E74" i="1"/>
  <c r="F74" i="1"/>
  <c r="A71" i="1"/>
  <c r="A72" i="1"/>
  <c r="A73" i="1"/>
  <c r="D73" i="1"/>
  <c r="E73" i="1"/>
  <c r="F73" i="1"/>
  <c r="D72" i="1"/>
  <c r="E72" i="1"/>
  <c r="F72" i="1"/>
  <c r="D71" i="1"/>
  <c r="E71" i="1"/>
  <c r="F71" i="1"/>
  <c r="A66" i="1"/>
  <c r="A67" i="1"/>
  <c r="A68" i="1"/>
  <c r="A69" i="1"/>
  <c r="A70" i="1"/>
  <c r="D70" i="1"/>
  <c r="E70" i="1"/>
  <c r="F70" i="1"/>
  <c r="D69" i="1"/>
  <c r="E69" i="1"/>
  <c r="F69" i="1"/>
  <c r="D68" i="1"/>
  <c r="E68" i="1"/>
  <c r="F68" i="1"/>
  <c r="D67" i="1"/>
  <c r="E67" i="1"/>
  <c r="F67" i="1"/>
  <c r="D66" i="1"/>
  <c r="E66" i="1"/>
  <c r="F66" i="1"/>
  <c r="A61" i="1"/>
  <c r="A62" i="1"/>
  <c r="A63" i="1"/>
  <c r="A64" i="1"/>
  <c r="A65" i="1"/>
  <c r="D65" i="1"/>
  <c r="E65" i="1"/>
  <c r="F65" i="1"/>
  <c r="D64" i="1"/>
  <c r="E64" i="1"/>
  <c r="F64" i="1"/>
  <c r="D63" i="1"/>
  <c r="E63" i="1"/>
  <c r="F63" i="1"/>
  <c r="D62" i="1"/>
  <c r="E62" i="1"/>
  <c r="F62" i="1"/>
  <c r="D61" i="1"/>
  <c r="E61" i="1"/>
  <c r="F61" i="1"/>
  <c r="A59" i="1"/>
  <c r="A60" i="1"/>
  <c r="D60" i="1"/>
  <c r="E60" i="1"/>
  <c r="F60" i="1"/>
  <c r="D59" i="1"/>
  <c r="E59" i="1"/>
  <c r="F59" i="1"/>
  <c r="A57" i="1"/>
  <c r="A58" i="1"/>
  <c r="D58" i="1"/>
  <c r="E58" i="1"/>
  <c r="F58" i="1"/>
  <c r="D57" i="1"/>
  <c r="E57" i="1"/>
  <c r="F57" i="1"/>
  <c r="A55" i="1"/>
  <c r="A56" i="1"/>
  <c r="D56" i="1"/>
  <c r="E56" i="1"/>
  <c r="F56" i="1"/>
  <c r="D55" i="1"/>
  <c r="E55" i="1"/>
  <c r="F55" i="1"/>
  <c r="A48" i="1"/>
  <c r="A49" i="1"/>
  <c r="A50" i="1"/>
  <c r="A51" i="1"/>
  <c r="A52" i="1"/>
  <c r="A53" i="1"/>
  <c r="A54" i="1"/>
  <c r="D54" i="1"/>
  <c r="E54" i="1"/>
  <c r="F54" i="1"/>
  <c r="D53" i="1"/>
  <c r="E53" i="1"/>
  <c r="F53" i="1"/>
  <c r="D52" i="1"/>
  <c r="E52" i="1"/>
  <c r="F52" i="1"/>
  <c r="D51" i="1"/>
  <c r="E51" i="1"/>
  <c r="F51" i="1"/>
  <c r="D50" i="1"/>
  <c r="E50" i="1"/>
  <c r="F50" i="1"/>
  <c r="D49" i="1"/>
  <c r="E49" i="1"/>
  <c r="F49" i="1"/>
  <c r="D48" i="1"/>
  <c r="E48" i="1"/>
  <c r="F48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D47" i="1"/>
  <c r="E47" i="1"/>
  <c r="F47" i="1"/>
  <c r="D46" i="1"/>
  <c r="E46" i="1"/>
  <c r="F46" i="1"/>
  <c r="D45" i="1"/>
  <c r="E45" i="1"/>
  <c r="F45" i="1"/>
  <c r="D44" i="1"/>
  <c r="E44" i="1"/>
  <c r="F44" i="1"/>
  <c r="D43" i="1"/>
  <c r="E43" i="1"/>
  <c r="F43" i="1"/>
  <c r="D42" i="1"/>
  <c r="E42" i="1"/>
  <c r="F42" i="1"/>
  <c r="D41" i="1"/>
  <c r="E41" i="1"/>
  <c r="F41" i="1"/>
  <c r="D40" i="1"/>
  <c r="E40" i="1"/>
  <c r="F40" i="1"/>
  <c r="D39" i="1"/>
  <c r="E39" i="1"/>
  <c r="F39" i="1"/>
  <c r="D38" i="1"/>
  <c r="E38" i="1"/>
  <c r="F38" i="1"/>
  <c r="D37" i="1"/>
  <c r="E37" i="1"/>
  <c r="F37" i="1"/>
  <c r="D36" i="1"/>
  <c r="E36" i="1"/>
  <c r="F36" i="1"/>
  <c r="D35" i="1"/>
  <c r="E35" i="1"/>
  <c r="F35" i="1"/>
  <c r="D34" i="1"/>
  <c r="E34" i="1"/>
  <c r="F34" i="1"/>
  <c r="A27" i="1"/>
  <c r="A28" i="1"/>
  <c r="A29" i="1"/>
  <c r="A30" i="1"/>
  <c r="A31" i="1"/>
  <c r="A32" i="1"/>
  <c r="A33" i="1"/>
  <c r="D33" i="1"/>
  <c r="E33" i="1"/>
  <c r="F33" i="1"/>
  <c r="D32" i="1"/>
  <c r="E32" i="1"/>
  <c r="F32" i="1"/>
  <c r="D31" i="1"/>
  <c r="E31" i="1"/>
  <c r="F31" i="1"/>
  <c r="D30" i="1"/>
  <c r="E30" i="1"/>
  <c r="F30" i="1"/>
  <c r="D29" i="1"/>
  <c r="E29" i="1"/>
  <c r="F29" i="1"/>
  <c r="D28" i="1"/>
  <c r="E28" i="1"/>
  <c r="F28" i="1"/>
  <c r="D27" i="1"/>
  <c r="E27" i="1"/>
  <c r="F27" i="1"/>
  <c r="A25" i="1"/>
  <c r="A26" i="1"/>
  <c r="D26" i="1"/>
  <c r="E26" i="1"/>
  <c r="F26" i="1"/>
  <c r="D25" i="1"/>
  <c r="E25" i="1"/>
  <c r="F25" i="1"/>
  <c r="A24" i="1"/>
  <c r="D24" i="1"/>
  <c r="E24" i="1"/>
  <c r="F24" i="1"/>
  <c r="A23" i="1"/>
  <c r="D23" i="1"/>
  <c r="E23" i="1"/>
  <c r="F23" i="1"/>
  <c r="A22" i="1"/>
  <c r="D22" i="1"/>
  <c r="E22" i="1"/>
  <c r="F22" i="1"/>
  <c r="A20" i="1"/>
  <c r="A21" i="1"/>
  <c r="D21" i="1"/>
  <c r="E21" i="1"/>
  <c r="F21" i="1"/>
  <c r="D20" i="1"/>
  <c r="E20" i="1"/>
  <c r="F20" i="1"/>
  <c r="D19" i="1"/>
  <c r="E19" i="1"/>
  <c r="F19" i="1"/>
  <c r="A18" i="1"/>
  <c r="A19" i="1"/>
  <c r="D18" i="1"/>
  <c r="E18" i="1"/>
  <c r="F1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D17" i="1"/>
  <c r="E17" i="1"/>
  <c r="F17" i="1"/>
  <c r="D16" i="1"/>
  <c r="E16" i="1"/>
  <c r="F16" i="1"/>
  <c r="D15" i="1"/>
  <c r="E15" i="1"/>
  <c r="F15" i="1"/>
  <c r="D14" i="1"/>
  <c r="E14" i="1"/>
  <c r="F14" i="1"/>
  <c r="D13" i="1"/>
  <c r="E13" i="1"/>
  <c r="F13" i="1"/>
  <c r="D12" i="1"/>
  <c r="E12" i="1"/>
  <c r="F12" i="1"/>
  <c r="D11" i="1"/>
  <c r="E11" i="1"/>
  <c r="F11" i="1"/>
  <c r="D10" i="1"/>
  <c r="E10" i="1"/>
  <c r="F10" i="1"/>
  <c r="D9" i="1"/>
  <c r="E9" i="1"/>
  <c r="F9" i="1"/>
  <c r="D8" i="1"/>
  <c r="E8" i="1"/>
  <c r="F8" i="1"/>
  <c r="D7" i="1"/>
  <c r="E7" i="1"/>
  <c r="F7" i="1"/>
  <c r="F5" i="1"/>
  <c r="F6" i="1"/>
  <c r="F4" i="1"/>
  <c r="D6" i="1"/>
  <c r="E6" i="1"/>
  <c r="E4" i="1"/>
  <c r="E5" i="1"/>
  <c r="D5" i="1"/>
  <c r="B67" i="1" l="1"/>
  <c r="B69" i="1"/>
  <c r="B75" i="1"/>
  <c r="B74" i="1"/>
  <c r="B56" i="1"/>
  <c r="B55" i="1"/>
  <c r="B70" i="1"/>
  <c r="B66" i="1"/>
  <c r="B73" i="1"/>
  <c r="B72" i="1"/>
  <c r="B68" i="1"/>
  <c r="B71" i="1"/>
  <c r="B61" i="1"/>
  <c r="B58" i="1"/>
  <c r="B64" i="1"/>
  <c r="B65" i="1"/>
  <c r="B60" i="1"/>
  <c r="B63" i="1"/>
  <c r="B62" i="1"/>
  <c r="B57" i="1"/>
  <c r="B59" i="1"/>
  <c r="B17" i="1"/>
  <c r="B48" i="1"/>
  <c r="B32" i="1"/>
  <c r="B16" i="1"/>
  <c r="B47" i="1"/>
  <c r="B31" i="1"/>
  <c r="B15" i="1"/>
  <c r="B30" i="1"/>
  <c r="B12" i="1"/>
  <c r="B27" i="1"/>
  <c r="B42" i="1"/>
  <c r="B10" i="1"/>
  <c r="B25" i="1"/>
  <c r="B40" i="1"/>
  <c r="B8" i="1"/>
  <c r="B39" i="1"/>
  <c r="B7" i="1"/>
  <c r="B54" i="1"/>
  <c r="B22" i="1"/>
  <c r="B53" i="1"/>
  <c r="B21" i="1"/>
  <c r="B52" i="1"/>
  <c r="B4" i="1"/>
  <c r="B51" i="1"/>
  <c r="B35" i="1"/>
  <c r="B19" i="1"/>
  <c r="B46" i="1"/>
  <c r="B14" i="1"/>
  <c r="B29" i="1"/>
  <c r="B13" i="1"/>
  <c r="B28" i="1"/>
  <c r="B43" i="1"/>
  <c r="B11" i="1"/>
  <c r="B26" i="1"/>
  <c r="B41" i="1"/>
  <c r="B9" i="1"/>
  <c r="B24" i="1"/>
  <c r="B3" i="1"/>
  <c r="B23" i="1"/>
  <c r="B38" i="1"/>
  <c r="B6" i="1"/>
  <c r="B37" i="1"/>
  <c r="B5" i="1"/>
  <c r="B36" i="1"/>
  <c r="B20" i="1"/>
  <c r="B50" i="1"/>
  <c r="B34" i="1"/>
  <c r="B18" i="1"/>
  <c r="B45" i="1"/>
  <c r="B44" i="1"/>
  <c r="B49" i="1"/>
  <c r="B33" i="1"/>
</calcChain>
</file>

<file path=xl/sharedStrings.xml><?xml version="1.0" encoding="utf-8"?>
<sst xmlns="http://schemas.openxmlformats.org/spreadsheetml/2006/main" count="80" uniqueCount="80">
  <si>
    <t>with leveller, maj7space, mbc, maj7, 64-bit</t>
  </si>
  <si>
    <t>with leveller, maj7space, mbc, maj7, 32-bit</t>
  </si>
  <si>
    <t>with leveller, maj7space, mbc, maj7, 32-bit -- WITH PDB</t>
  </si>
  <si>
    <t>inline svfilter</t>
  </si>
  <si>
    <t>remove redundant data (no change) + remove compensation gain</t>
  </si>
  <si>
    <t>target</t>
  </si>
  <si>
    <t>current unpadded</t>
  </si>
  <si>
    <t>save since last</t>
  </si>
  <si>
    <t>save total</t>
  </si>
  <si>
    <t>balance</t>
  </si>
  <si>
    <t>optimize diode + a bunch of build fixes for 32-bit</t>
  </si>
  <si>
    <t>remove magnitude at frequency &amp; doesSupport</t>
  </si>
  <si>
    <t>dedupe grain cycle</t>
  </si>
  <si>
    <t>biquad remove mag@freq, deinline (wut)</t>
  </si>
  <si>
    <t>more biquad/cascaded biquad tiny tweaks</t>
  </si>
  <si>
    <t>exclude diode &amp; k35 filters</t>
  </si>
  <si>
    <t>simplified SAH core</t>
  </si>
  <si>
    <t>refactored envelope node</t>
  </si>
  <si>
    <t>disable analog &amp; rare models</t>
  </si>
  <si>
    <t>disable folded triangle</t>
  </si>
  <si>
    <t>re-enable analog mix</t>
  </si>
  <si>
    <t>env remove unused fn</t>
  </si>
  <si>
    <t>140 bytes between debug info and not</t>
  </si>
  <si>
    <t>clamp noinline</t>
  </si>
  <si>
    <t>no unique_ptr</t>
  </si>
  <si>
    <t>weird doublepair refact</t>
  </si>
  <si>
    <t>de-inlining vwshape</t>
  </si>
  <si>
    <t>removing uint8_t enum class, now using C++23 standard</t>
  </si>
  <si>
    <t>no butterworth</t>
  </si>
  <si>
    <t>minify exe player (Maj7ConsolePlayer)</t>
  </si>
  <si>
    <t>re-adding butterworth and rare models</t>
  </si>
  <si>
    <t>add progress reporting.</t>
  </si>
  <si>
    <t>add width</t>
  </si>
  <si>
    <t>remove rare models again</t>
  </si>
  <si>
    <t>remove notch &amp; allpass filter impls</t>
  </si>
  <si>
    <t>tiny tweak to butterworth</t>
  </si>
  <si>
    <t>true filter selection in EQ</t>
  </si>
  <si>
    <t>and supporting fixes and code</t>
  </si>
  <si>
    <t>fixing CRT dependencies</t>
  </si>
  <si>
    <t>massive refactor</t>
  </si>
  <si>
    <t>more fixing bugs, display help text</t>
  </si>
  <si>
    <t>removed unnecessary recalc mask</t>
  </si>
  <si>
    <t>removed unnecessary lambda in oscillator ??</t>
  </si>
  <si>
    <t>hardcode recalc masks</t>
  </si>
  <si>
    <t>fixed int/enum serialization (core work: presets still need fixing)</t>
  </si>
  <si>
    <t>and correcting errors / defaults based on that change.</t>
  </si>
  <si>
    <t>adding 2 more mod envs</t>
  </si>
  <si>
    <t>adding 0,1 alternating mod source</t>
  </si>
  <si>
    <t>enabling pitch bend</t>
  </si>
  <si>
    <t>LFO time basis</t>
  </si>
  <si>
    <t>bit_cast int-float serialization</t>
  </si>
  <si>
    <t>but that isn't possible; int serialization back to unpolar. Re-enabling panning as well in width</t>
  </si>
  <si>
    <t>#133 using -1..1 floats for defaults</t>
  </si>
  <si>
    <t>#137 value noise fbm</t>
  </si>
  <si>
    <t>no noise inlines</t>
  </si>
  <si>
    <t>cheaper noise</t>
  </si>
  <si>
    <t>remove FBM option</t>
  </si>
  <si>
    <t>podvector to replace various  buffers</t>
  </si>
  <si>
    <t>better ctor, various optimizations, unifying allpass, delay, comb, audiobuffers</t>
  </si>
  <si>
    <t>remove interpolation mode, sampler optimizations</t>
  </si>
  <si>
    <t>gmdls is now the only sample source</t>
  </si>
  <si>
    <t>fixing gmdls, fixing ownership of sample data</t>
  </si>
  <si>
    <t>better modulateable and shaped fbm noise but sheesh it's worth it</t>
  </si>
  <si>
    <t>using floatpair more, using triple lerps instead of bilerp</t>
  </si>
  <si>
    <t>disable pulse4</t>
  </si>
  <si>
    <t>fix to precision for rotating noise #144</t>
  </si>
  <si>
    <t>mbc fixes #151</t>
  </si>
  <si>
    <t>re-enabling crossover slopes-adding params and infra</t>
  </si>
  <si>
    <t>impl naïve</t>
  </si>
  <si>
    <t>removing a bunch of unnecessary bloat</t>
  </si>
  <si>
    <t>removing model gain compensation for mbc</t>
  </si>
  <si>
    <t>gating out 12 and 36db/oct crossovers</t>
  </si>
  <si>
    <t>single crossover option, optimizations</t>
  </si>
  <si>
    <t>de-inlining moog one pole filter</t>
  </si>
  <si>
    <t>removing compensation gain on soft clipper which was also causing mbc problems</t>
  </si>
  <si>
    <t>de-inline moog filter,'calculate filter G in function removing many clamps, misc</t>
  </si>
  <si>
    <t>no filtered white noise wave  shapes.</t>
  </si>
  <si>
    <t>deinlining param stuff</t>
  </si>
  <si>
    <t>remove "square mode" from  sine wave shape, adding PM to fbm</t>
  </si>
  <si>
    <t>fixing note stealing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</si>
</sst>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08B1-9BA5-43A8-9C7E-633386A766E4}">
  <dimension ref="A1:O75"/>
  <sheetViews>
    <sheetView tabSelected="1" workbookViewId="0">
      <pane ySplit="1" topLeftCell="A56" activePane="bottomLeft" state="frozen"/>
      <selection pane="bottomLeft" activeCell="C70" sqref="C70"/>
    </sheetView>
  </sheetViews>
  <sheetFormatPr defaultRowHeight="15" x14ac:dyDescent="0.25"/>
  <cols>
    <col min="2" max="2" width="74.5703125" style="1" bestFit="1" customWidth="1"/>
    <col min="3" max="3" width="17" bestFit="1" customWidth="1"/>
    <col min="4" max="4" width="13.7109375" style="2" bestFit="1" customWidth="1"/>
    <col min="5" max="5" width="6" customWidth="1"/>
    <col min="6" max="6" width="7.85546875" bestFit="1" customWidth="1"/>
  </cols>
  <sheetData>
    <row r="1" spans="1:15" x14ac:dyDescent="0.25">
      <c r="C1" t="s">
        <v>6</v>
      </c>
      <c r="D1" s="2" t="s">
        <v>7</v>
      </c>
      <c r="E1" t="s">
        <v>8</v>
      </c>
      <c r="F1" t="s">
        <v>9</v>
      </c>
    </row>
    <row r="2" spans="1:15" x14ac:dyDescent="0.25">
      <c r="G2" t="s">
        <v>0</v>
      </c>
      <c r="N2" t="s">
        <v>5</v>
      </c>
      <c r="O2">
        <f>32768+140</f>
        <v>32908</v>
      </c>
    </row>
    <row r="3" spans="1:15" x14ac:dyDescent="0.25">
      <c r="A3">
        <f t="shared" ref="A3:A17" si="0">C3-$O$2</f>
        <v>4980</v>
      </c>
      <c r="B3" s="1" t="str">
        <f>REPT("#",A3*100/MAX(A:A))</f>
        <v>##########################################################################################</v>
      </c>
      <c r="C3">
        <v>37888</v>
      </c>
      <c r="G3" t="s">
        <v>1</v>
      </c>
      <c r="N3" t="s">
        <v>22</v>
      </c>
    </row>
    <row r="4" spans="1:15" x14ac:dyDescent="0.25">
      <c r="A4">
        <f t="shared" si="0"/>
        <v>5492</v>
      </c>
      <c r="B4" s="1" t="str">
        <f t="shared" ref="B4:B58" si="1">REPT("#",A4*100/MAX(A:A))</f>
        <v>####################################################################################################</v>
      </c>
      <c r="C4">
        <v>38400</v>
      </c>
      <c r="E4">
        <f>$C$4-C4</f>
        <v>0</v>
      </c>
      <c r="F4">
        <f>$O$2-C4</f>
        <v>-5492</v>
      </c>
      <c r="G4" t="s">
        <v>2</v>
      </c>
    </row>
    <row r="5" spans="1:15" x14ac:dyDescent="0.25">
      <c r="A5">
        <f t="shared" si="0"/>
        <v>4980</v>
      </c>
      <c r="B5" s="1" t="str">
        <f t="shared" si="1"/>
        <v>##########################################################################################</v>
      </c>
      <c r="C5">
        <v>37888</v>
      </c>
      <c r="D5" s="2">
        <f>C4-C5</f>
        <v>512</v>
      </c>
      <c r="E5">
        <f>$C$4-C5</f>
        <v>512</v>
      </c>
      <c r="F5">
        <f t="shared" ref="F5:F6" si="2">$O$2-C5</f>
        <v>-4980</v>
      </c>
      <c r="G5" t="s">
        <v>3</v>
      </c>
    </row>
    <row r="6" spans="1:15" x14ac:dyDescent="0.25">
      <c r="A6">
        <f t="shared" si="0"/>
        <v>4468</v>
      </c>
      <c r="B6" s="1" t="str">
        <f t="shared" si="1"/>
        <v>#################################################################################</v>
      </c>
      <c r="C6">
        <v>37376</v>
      </c>
      <c r="D6" s="2">
        <f>C5-C6</f>
        <v>512</v>
      </c>
      <c r="E6">
        <f>$C$4-C6</f>
        <v>1024</v>
      </c>
      <c r="F6">
        <f t="shared" si="2"/>
        <v>-4468</v>
      </c>
      <c r="G6" t="s">
        <v>4</v>
      </c>
    </row>
    <row r="7" spans="1:15" x14ac:dyDescent="0.25">
      <c r="A7">
        <f t="shared" si="0"/>
        <v>4484</v>
      </c>
      <c r="B7" s="1" t="str">
        <f t="shared" si="1"/>
        <v>#################################################################################</v>
      </c>
      <c r="C7">
        <v>37392</v>
      </c>
      <c r="D7" s="2">
        <f t="shared" ref="D7:D34" si="3">C6-C7</f>
        <v>-16</v>
      </c>
      <c r="E7">
        <f>$C$4-C7</f>
        <v>1008</v>
      </c>
      <c r="F7">
        <f>$O$2-C7</f>
        <v>-4484</v>
      </c>
      <c r="G7" t="s">
        <v>10</v>
      </c>
    </row>
    <row r="8" spans="1:15" x14ac:dyDescent="0.25">
      <c r="A8">
        <f t="shared" si="0"/>
        <v>3728</v>
      </c>
      <c r="B8" s="1" t="str">
        <f t="shared" si="1"/>
        <v>###################################################################</v>
      </c>
      <c r="C8">
        <v>36636</v>
      </c>
      <c r="D8" s="2">
        <f t="shared" si="3"/>
        <v>756</v>
      </c>
      <c r="E8">
        <f t="shared" ref="E8" si="4">$C$4-C8</f>
        <v>1764</v>
      </c>
      <c r="F8">
        <f t="shared" ref="F8" si="5">$O$2-C8</f>
        <v>-3728</v>
      </c>
      <c r="G8" t="s">
        <v>11</v>
      </c>
    </row>
    <row r="9" spans="1:15" x14ac:dyDescent="0.25">
      <c r="A9">
        <f t="shared" si="0"/>
        <v>3716</v>
      </c>
      <c r="B9" s="1" t="str">
        <f t="shared" si="1"/>
        <v>###################################################################</v>
      </c>
      <c r="C9">
        <v>36624</v>
      </c>
      <c r="D9" s="2">
        <f t="shared" si="3"/>
        <v>12</v>
      </c>
      <c r="E9">
        <f t="shared" ref="E9" si="6">$C$4-C9</f>
        <v>1776</v>
      </c>
      <c r="F9">
        <f t="shared" ref="F9" si="7">$O$2-C9</f>
        <v>-3716</v>
      </c>
      <c r="G9" t="s">
        <v>12</v>
      </c>
    </row>
    <row r="10" spans="1:15" x14ac:dyDescent="0.25">
      <c r="A10">
        <f t="shared" si="0"/>
        <v>3724</v>
      </c>
      <c r="B10" s="1" t="str">
        <f t="shared" si="1"/>
        <v>###################################################################</v>
      </c>
      <c r="C10">
        <v>36632</v>
      </c>
      <c r="D10" s="2">
        <f t="shared" si="3"/>
        <v>-8</v>
      </c>
      <c r="E10">
        <f t="shared" ref="E10" si="8">$C$4-C10</f>
        <v>1768</v>
      </c>
      <c r="F10">
        <f t="shared" ref="F10" si="9">$O$2-C10</f>
        <v>-3724</v>
      </c>
      <c r="G10" t="s">
        <v>13</v>
      </c>
    </row>
    <row r="11" spans="1:15" x14ac:dyDescent="0.25">
      <c r="A11">
        <f t="shared" si="0"/>
        <v>3740</v>
      </c>
      <c r="B11" s="1" t="str">
        <f t="shared" si="1"/>
        <v>####################################################################</v>
      </c>
      <c r="C11">
        <v>36648</v>
      </c>
      <c r="D11" s="2">
        <f t="shared" si="3"/>
        <v>-16</v>
      </c>
      <c r="E11">
        <f t="shared" ref="E11" si="10">$C$4-C11</f>
        <v>1752</v>
      </c>
      <c r="F11">
        <f t="shared" ref="F11" si="11">$O$2-C11</f>
        <v>-3740</v>
      </c>
      <c r="G11" t="s">
        <v>14</v>
      </c>
    </row>
    <row r="12" spans="1:15" x14ac:dyDescent="0.25">
      <c r="A12">
        <f t="shared" si="0"/>
        <v>3012</v>
      </c>
      <c r="B12" s="1" t="str">
        <f t="shared" si="1"/>
        <v>######################################################</v>
      </c>
      <c r="C12">
        <v>35920</v>
      </c>
      <c r="D12" s="2">
        <f t="shared" si="3"/>
        <v>728</v>
      </c>
      <c r="E12">
        <f t="shared" ref="E12" si="12">$C$4-C12</f>
        <v>2480</v>
      </c>
      <c r="F12">
        <f t="shared" ref="F12" si="13">$O$2-C12</f>
        <v>-3012</v>
      </c>
      <c r="G12" t="s">
        <v>15</v>
      </c>
    </row>
    <row r="13" spans="1:15" x14ac:dyDescent="0.25">
      <c r="A13">
        <f t="shared" si="0"/>
        <v>2936</v>
      </c>
      <c r="B13" s="1" t="str">
        <f t="shared" si="1"/>
        <v>#####################################################</v>
      </c>
      <c r="C13">
        <v>35844</v>
      </c>
      <c r="D13" s="2">
        <f t="shared" si="3"/>
        <v>76</v>
      </c>
      <c r="E13">
        <f t="shared" ref="E13" si="14">$C$4-C13</f>
        <v>2556</v>
      </c>
      <c r="F13">
        <f t="shared" ref="F13" si="15">$O$2-C13</f>
        <v>-2936</v>
      </c>
      <c r="G13" t="s">
        <v>16</v>
      </c>
    </row>
    <row r="14" spans="1:15" x14ac:dyDescent="0.25">
      <c r="A14">
        <f t="shared" si="0"/>
        <v>2928</v>
      </c>
      <c r="B14" s="1" t="str">
        <f t="shared" si="1"/>
        <v>#####################################################</v>
      </c>
      <c r="C14">
        <v>35836</v>
      </c>
      <c r="D14" s="2">
        <f t="shared" si="3"/>
        <v>8</v>
      </c>
      <c r="E14">
        <f t="shared" ref="E14" si="16">$C$4-C14</f>
        <v>2564</v>
      </c>
      <c r="F14">
        <f t="shared" ref="F14" si="17">$O$2-C14</f>
        <v>-2928</v>
      </c>
      <c r="G14" t="s">
        <v>17</v>
      </c>
    </row>
    <row r="15" spans="1:15" x14ac:dyDescent="0.25">
      <c r="A15">
        <f t="shared" si="0"/>
        <v>2684</v>
      </c>
      <c r="B15" s="1" t="str">
        <f t="shared" si="1"/>
        <v>################################################</v>
      </c>
      <c r="C15">
        <v>35592</v>
      </c>
      <c r="D15" s="2">
        <f t="shared" si="3"/>
        <v>244</v>
      </c>
      <c r="E15">
        <f t="shared" ref="E15" si="18">$C$4-C15</f>
        <v>2808</v>
      </c>
      <c r="F15">
        <f t="shared" ref="F15" si="19">$O$2-C15</f>
        <v>-2684</v>
      </c>
      <c r="G15" t="s">
        <v>18</v>
      </c>
    </row>
    <row r="16" spans="1:15" x14ac:dyDescent="0.25">
      <c r="A16">
        <f t="shared" si="0"/>
        <v>1312</v>
      </c>
      <c r="B16" s="1" t="str">
        <f t="shared" si="1"/>
        <v>#######################</v>
      </c>
      <c r="C16">
        <v>34220</v>
      </c>
      <c r="D16" s="2">
        <f t="shared" si="3"/>
        <v>1372</v>
      </c>
      <c r="E16">
        <f t="shared" ref="E16" si="20">$C$4-C16</f>
        <v>4180</v>
      </c>
      <c r="F16">
        <f t="shared" ref="F16" si="21">$O$2-C16</f>
        <v>-1312</v>
      </c>
      <c r="G16" t="s">
        <v>19</v>
      </c>
    </row>
    <row r="17" spans="1:7" x14ac:dyDescent="0.25">
      <c r="A17">
        <f t="shared" si="0"/>
        <v>1372</v>
      </c>
      <c r="B17" s="1" t="str">
        <f t="shared" si="1"/>
        <v>########################</v>
      </c>
      <c r="C17">
        <v>34280</v>
      </c>
      <c r="D17" s="2">
        <f t="shared" si="3"/>
        <v>-60</v>
      </c>
      <c r="E17">
        <f t="shared" ref="E17" si="22">$C$4-C17</f>
        <v>4120</v>
      </c>
      <c r="F17">
        <f t="shared" ref="F17" si="23">$O$2-C17</f>
        <v>-1372</v>
      </c>
      <c r="G17" t="s">
        <v>20</v>
      </c>
    </row>
    <row r="18" spans="1:7" x14ac:dyDescent="0.25">
      <c r="A18">
        <f t="shared" ref="A18:A19" si="24">C18-$O$2</f>
        <v>1368</v>
      </c>
      <c r="B18" s="1" t="str">
        <f t="shared" si="1"/>
        <v>########################</v>
      </c>
      <c r="C18">
        <v>34276</v>
      </c>
      <c r="D18" s="2">
        <f t="shared" si="3"/>
        <v>4</v>
      </c>
      <c r="E18">
        <f t="shared" ref="E18" si="25">$C$4-C18</f>
        <v>4124</v>
      </c>
      <c r="F18">
        <f t="shared" ref="F18" si="26">$O$2-C18</f>
        <v>-1368</v>
      </c>
      <c r="G18" t="s">
        <v>21</v>
      </c>
    </row>
    <row r="19" spans="1:7" x14ac:dyDescent="0.25">
      <c r="A19">
        <f t="shared" si="24"/>
        <v>1284</v>
      </c>
      <c r="B19" s="1" t="str">
        <f t="shared" si="1"/>
        <v>#######################</v>
      </c>
      <c r="C19">
        <v>34192</v>
      </c>
      <c r="D19" s="2">
        <f t="shared" si="3"/>
        <v>84</v>
      </c>
      <c r="E19">
        <f t="shared" ref="E19" si="27">$C$4-C19</f>
        <v>4208</v>
      </c>
      <c r="F19">
        <f t="shared" ref="F19" si="28">$O$2-C19</f>
        <v>-1284</v>
      </c>
      <c r="G19" t="s">
        <v>23</v>
      </c>
    </row>
    <row r="20" spans="1:7" x14ac:dyDescent="0.25">
      <c r="A20">
        <f t="shared" ref="A20:A21" si="29">C20-$O$2</f>
        <v>1280</v>
      </c>
      <c r="B20" s="1" t="str">
        <f t="shared" si="1"/>
        <v>#######################</v>
      </c>
      <c r="C20">
        <v>34188</v>
      </c>
      <c r="D20" s="2">
        <f t="shared" si="3"/>
        <v>4</v>
      </c>
      <c r="E20">
        <f t="shared" ref="E20" si="30">$C$4-C20</f>
        <v>4212</v>
      </c>
      <c r="F20">
        <f t="shared" ref="F20" si="31">$O$2-C20</f>
        <v>-1280</v>
      </c>
      <c r="G20" t="s">
        <v>24</v>
      </c>
    </row>
    <row r="21" spans="1:7" x14ac:dyDescent="0.25">
      <c r="A21">
        <f t="shared" si="29"/>
        <v>1224</v>
      </c>
      <c r="B21" s="1" t="str">
        <f t="shared" si="1"/>
        <v>######################</v>
      </c>
      <c r="C21">
        <v>34132</v>
      </c>
      <c r="D21" s="2">
        <f t="shared" si="3"/>
        <v>56</v>
      </c>
      <c r="E21">
        <f t="shared" ref="E21" si="32">$C$4-C21</f>
        <v>4268</v>
      </c>
      <c r="F21">
        <f t="shared" ref="F21" si="33">$O$2-C21</f>
        <v>-1224</v>
      </c>
      <c r="G21" t="s">
        <v>25</v>
      </c>
    </row>
    <row r="22" spans="1:7" x14ac:dyDescent="0.25">
      <c r="A22">
        <f t="shared" ref="A22" si="34">C22-$O$2</f>
        <v>1132</v>
      </c>
      <c r="B22" s="1" t="str">
        <f t="shared" si="1"/>
        <v>####################</v>
      </c>
      <c r="C22">
        <v>34040</v>
      </c>
      <c r="D22" s="2">
        <f t="shared" si="3"/>
        <v>92</v>
      </c>
      <c r="E22">
        <f t="shared" ref="E22" si="35">$C$4-C22</f>
        <v>4360</v>
      </c>
      <c r="F22">
        <f t="shared" ref="F22" si="36">$O$2-C22</f>
        <v>-1132</v>
      </c>
      <c r="G22" t="s">
        <v>26</v>
      </c>
    </row>
    <row r="23" spans="1:7" x14ac:dyDescent="0.25">
      <c r="A23">
        <f t="shared" ref="A23" si="37">C23-$O$2</f>
        <v>1116</v>
      </c>
      <c r="B23" s="1" t="str">
        <f t="shared" si="1"/>
        <v>####################</v>
      </c>
      <c r="C23">
        <v>34024</v>
      </c>
      <c r="D23" s="2">
        <f t="shared" si="3"/>
        <v>16</v>
      </c>
      <c r="E23">
        <f t="shared" ref="E23" si="38">$C$4-C23</f>
        <v>4376</v>
      </c>
      <c r="F23">
        <f t="shared" ref="F23" si="39">$O$2-C23</f>
        <v>-1116</v>
      </c>
      <c r="G23" t="s">
        <v>27</v>
      </c>
    </row>
    <row r="24" spans="1:7" x14ac:dyDescent="0.25">
      <c r="A24">
        <f t="shared" ref="A24" si="40">C24-$O$2</f>
        <v>968</v>
      </c>
      <c r="B24" s="1" t="str">
        <f t="shared" si="1"/>
        <v>#################</v>
      </c>
      <c r="C24">
        <v>33876</v>
      </c>
      <c r="D24" s="2">
        <f t="shared" si="3"/>
        <v>148</v>
      </c>
      <c r="E24">
        <f t="shared" ref="E24" si="41">$C$4-C24</f>
        <v>4524</v>
      </c>
      <c r="F24">
        <f t="shared" ref="F24" si="42">$O$2-C24</f>
        <v>-968</v>
      </c>
      <c r="G24" t="s">
        <v>28</v>
      </c>
    </row>
    <row r="25" spans="1:7" x14ac:dyDescent="0.25">
      <c r="A25">
        <f t="shared" ref="A25:A26" si="43">C25-$O$2</f>
        <v>-568</v>
      </c>
      <c r="B25" s="1" t="e">
        <f t="shared" si="1"/>
        <v>#VALUE!</v>
      </c>
      <c r="C25">
        <v>32340</v>
      </c>
      <c r="D25" s="2">
        <f t="shared" si="3"/>
        <v>1536</v>
      </c>
      <c r="E25">
        <f t="shared" ref="E25" si="44">$C$4-C25</f>
        <v>6060</v>
      </c>
      <c r="F25">
        <f t="shared" ref="F25" si="45">$O$2-C25</f>
        <v>568</v>
      </c>
      <c r="G25" t="s">
        <v>29</v>
      </c>
    </row>
    <row r="26" spans="1:7" x14ac:dyDescent="0.25">
      <c r="A26">
        <f t="shared" si="43"/>
        <v>-272</v>
      </c>
      <c r="B26" s="1" t="e">
        <f t="shared" si="1"/>
        <v>#VALUE!</v>
      </c>
      <c r="C26">
        <v>32636</v>
      </c>
      <c r="D26" s="2">
        <f t="shared" si="3"/>
        <v>-296</v>
      </c>
      <c r="E26">
        <f t="shared" ref="E26" si="46">$C$4-C26</f>
        <v>5764</v>
      </c>
      <c r="F26">
        <f t="shared" ref="F26" si="47">$O$2-C26</f>
        <v>272</v>
      </c>
      <c r="G26" t="s">
        <v>30</v>
      </c>
    </row>
    <row r="27" spans="1:7" x14ac:dyDescent="0.25">
      <c r="A27">
        <f t="shared" ref="A27:A33" si="48">C27-$O$2</f>
        <v>-196</v>
      </c>
      <c r="B27" s="1" t="e">
        <f t="shared" si="1"/>
        <v>#VALUE!</v>
      </c>
      <c r="C27">
        <v>32712</v>
      </c>
      <c r="D27" s="2">
        <f t="shared" si="3"/>
        <v>-76</v>
      </c>
      <c r="E27">
        <f t="shared" ref="E27" si="49">$C$4-C27</f>
        <v>5688</v>
      </c>
      <c r="F27">
        <f t="shared" ref="F27" si="50">$O$2-C27</f>
        <v>196</v>
      </c>
      <c r="G27" t="s">
        <v>31</v>
      </c>
    </row>
    <row r="28" spans="1:7" x14ac:dyDescent="0.25">
      <c r="A28">
        <f t="shared" si="48"/>
        <v>0</v>
      </c>
      <c r="B28" s="1" t="str">
        <f t="shared" si="1"/>
        <v/>
      </c>
      <c r="C28">
        <v>32908</v>
      </c>
      <c r="D28" s="2">
        <f t="shared" si="3"/>
        <v>-196</v>
      </c>
      <c r="E28">
        <f t="shared" ref="E28" si="51">$C$4-C28</f>
        <v>5492</v>
      </c>
      <c r="F28">
        <f t="shared" ref="F28" si="52">$O$2-C28</f>
        <v>0</v>
      </c>
      <c r="G28" t="s">
        <v>32</v>
      </c>
    </row>
    <row r="29" spans="1:7" x14ac:dyDescent="0.25">
      <c r="A29">
        <f t="shared" si="48"/>
        <v>-128</v>
      </c>
      <c r="B29" s="1" t="e">
        <f t="shared" si="1"/>
        <v>#VALUE!</v>
      </c>
      <c r="C29">
        <v>32780</v>
      </c>
      <c r="D29" s="2">
        <f t="shared" si="3"/>
        <v>128</v>
      </c>
      <c r="E29">
        <f t="shared" ref="E29" si="53">$C$4-C29</f>
        <v>5620</v>
      </c>
      <c r="F29">
        <f t="shared" ref="F29" si="54">$O$2-C29</f>
        <v>128</v>
      </c>
      <c r="G29" t="s">
        <v>33</v>
      </c>
    </row>
    <row r="30" spans="1:7" x14ac:dyDescent="0.25">
      <c r="A30">
        <f t="shared" si="48"/>
        <v>-172</v>
      </c>
      <c r="B30" s="1" t="e">
        <f t="shared" si="1"/>
        <v>#VALUE!</v>
      </c>
      <c r="C30">
        <v>32736</v>
      </c>
      <c r="D30" s="2">
        <f t="shared" si="3"/>
        <v>44</v>
      </c>
      <c r="E30">
        <f t="shared" ref="E30" si="55">$C$4-C30</f>
        <v>5664</v>
      </c>
      <c r="F30">
        <f t="shared" ref="F30" si="56">$O$2-C30</f>
        <v>172</v>
      </c>
      <c r="G30" t="s">
        <v>34</v>
      </c>
    </row>
    <row r="31" spans="1:7" x14ac:dyDescent="0.25">
      <c r="A31">
        <f t="shared" si="48"/>
        <v>-176</v>
      </c>
      <c r="B31" s="1" t="e">
        <f t="shared" si="1"/>
        <v>#VALUE!</v>
      </c>
      <c r="C31">
        <v>32732</v>
      </c>
      <c r="D31" s="2">
        <f t="shared" si="3"/>
        <v>4</v>
      </c>
      <c r="E31">
        <f t="shared" ref="E31" si="57">$C$4-C31</f>
        <v>5668</v>
      </c>
      <c r="F31">
        <f t="shared" ref="F31" si="58">$O$2-C31</f>
        <v>176</v>
      </c>
      <c r="G31" t="s">
        <v>35</v>
      </c>
    </row>
    <row r="32" spans="1:7" x14ac:dyDescent="0.25">
      <c r="A32">
        <f t="shared" si="48"/>
        <v>-92</v>
      </c>
      <c r="B32" s="1" t="e">
        <f t="shared" si="1"/>
        <v>#VALUE!</v>
      </c>
      <c r="C32">
        <v>32816</v>
      </c>
      <c r="D32" s="2">
        <f t="shared" si="3"/>
        <v>-84</v>
      </c>
      <c r="E32">
        <f t="shared" ref="E32" si="59">$C$4-C32</f>
        <v>5584</v>
      </c>
      <c r="F32">
        <f t="shared" ref="F32" si="60">$O$2-C32</f>
        <v>92</v>
      </c>
      <c r="G32" t="s">
        <v>36</v>
      </c>
    </row>
    <row r="33" spans="1:7" x14ac:dyDescent="0.25">
      <c r="A33">
        <f t="shared" si="48"/>
        <v>-44</v>
      </c>
      <c r="B33" s="1" t="e">
        <f t="shared" si="1"/>
        <v>#VALUE!</v>
      </c>
      <c r="C33">
        <v>32864</v>
      </c>
      <c r="D33" s="2">
        <f t="shared" si="3"/>
        <v>-48</v>
      </c>
      <c r="E33">
        <f t="shared" ref="E33" si="61">$C$4-C33</f>
        <v>5536</v>
      </c>
      <c r="F33">
        <f t="shared" ref="F33" si="62">$O$2-C33</f>
        <v>44</v>
      </c>
      <c r="G33" t="s">
        <v>37</v>
      </c>
    </row>
    <row r="34" spans="1:7" x14ac:dyDescent="0.25">
      <c r="A34">
        <f t="shared" ref="A34:A47" si="63">C34-$O$2</f>
        <v>-116</v>
      </c>
      <c r="B34" s="1" t="e">
        <f t="shared" si="1"/>
        <v>#VALUE!</v>
      </c>
      <c r="C34">
        <v>32792</v>
      </c>
      <c r="D34" s="2">
        <f t="shared" si="3"/>
        <v>72</v>
      </c>
      <c r="E34">
        <f t="shared" ref="E34" si="64">$C$4-C34</f>
        <v>5608</v>
      </c>
      <c r="F34">
        <f t="shared" ref="F34" si="65">$O$2-C34</f>
        <v>116</v>
      </c>
      <c r="G34" t="s">
        <v>38</v>
      </c>
    </row>
    <row r="35" spans="1:7" x14ac:dyDescent="0.25">
      <c r="A35">
        <f t="shared" si="63"/>
        <v>-100</v>
      </c>
      <c r="B35" s="1" t="e">
        <f t="shared" si="1"/>
        <v>#VALUE!</v>
      </c>
      <c r="C35">
        <v>32808</v>
      </c>
      <c r="D35" s="2">
        <f t="shared" ref="D35" si="66">C34-C35</f>
        <v>-16</v>
      </c>
      <c r="E35">
        <f t="shared" ref="E35" si="67">$C$4-C35</f>
        <v>5592</v>
      </c>
      <c r="F35">
        <f t="shared" ref="F35" si="68">$O$2-C35</f>
        <v>100</v>
      </c>
      <c r="G35" t="s">
        <v>39</v>
      </c>
    </row>
    <row r="36" spans="1:7" x14ac:dyDescent="0.25">
      <c r="A36">
        <f t="shared" si="63"/>
        <v>-96</v>
      </c>
      <c r="B36" s="1" t="e">
        <f t="shared" si="1"/>
        <v>#VALUE!</v>
      </c>
      <c r="C36">
        <v>32812</v>
      </c>
      <c r="D36" s="2">
        <f t="shared" ref="D36" si="69">C35-C36</f>
        <v>-4</v>
      </c>
      <c r="E36">
        <f t="shared" ref="E36" si="70">$C$4-C36</f>
        <v>5588</v>
      </c>
      <c r="F36">
        <f t="shared" ref="F36" si="71">$O$2-C36</f>
        <v>96</v>
      </c>
      <c r="G36" t="s">
        <v>40</v>
      </c>
    </row>
    <row r="37" spans="1:7" x14ac:dyDescent="0.25">
      <c r="A37">
        <f t="shared" si="63"/>
        <v>-120</v>
      </c>
      <c r="B37" s="1" t="e">
        <f t="shared" si="1"/>
        <v>#VALUE!</v>
      </c>
      <c r="C37">
        <v>32788</v>
      </c>
      <c r="D37" s="2">
        <f t="shared" ref="D37" si="72">C36-C37</f>
        <v>24</v>
      </c>
      <c r="E37">
        <f t="shared" ref="E37" si="73">$C$4-C37</f>
        <v>5612</v>
      </c>
      <c r="F37">
        <f t="shared" ref="F37" si="74">$O$2-C37</f>
        <v>120</v>
      </c>
      <c r="G37" t="s">
        <v>41</v>
      </c>
    </row>
    <row r="38" spans="1:7" x14ac:dyDescent="0.25">
      <c r="A38">
        <f t="shared" si="63"/>
        <v>-140</v>
      </c>
      <c r="B38" s="1" t="e">
        <f t="shared" si="1"/>
        <v>#VALUE!</v>
      </c>
      <c r="C38">
        <v>32768</v>
      </c>
      <c r="D38" s="2">
        <f t="shared" ref="D38" si="75">C37-C38</f>
        <v>20</v>
      </c>
      <c r="E38">
        <f t="shared" ref="E38" si="76">$C$4-C38</f>
        <v>5632</v>
      </c>
      <c r="F38">
        <f t="shared" ref="F38" si="77">$O$2-C38</f>
        <v>140</v>
      </c>
      <c r="G38" t="s">
        <v>42</v>
      </c>
    </row>
    <row r="39" spans="1:7" x14ac:dyDescent="0.25">
      <c r="A39">
        <f t="shared" si="63"/>
        <v>-196</v>
      </c>
      <c r="B39" s="1" t="e">
        <f t="shared" si="1"/>
        <v>#VALUE!</v>
      </c>
      <c r="C39">
        <v>32712</v>
      </c>
      <c r="D39" s="2">
        <f t="shared" ref="D39" si="78">C38-C39</f>
        <v>56</v>
      </c>
      <c r="E39">
        <f t="shared" ref="E39" si="79">$C$4-C39</f>
        <v>5688</v>
      </c>
      <c r="F39">
        <f t="shared" ref="F39" si="80">$O$2-C39</f>
        <v>196</v>
      </c>
      <c r="G39" t="s">
        <v>43</v>
      </c>
    </row>
    <row r="40" spans="1:7" x14ac:dyDescent="0.25">
      <c r="A40">
        <f t="shared" si="63"/>
        <v>-252</v>
      </c>
      <c r="B40" s="1" t="e">
        <f t="shared" si="1"/>
        <v>#VALUE!</v>
      </c>
      <c r="C40">
        <v>32656</v>
      </c>
      <c r="D40" s="2">
        <f t="shared" ref="D40" si="81">C39-C40</f>
        <v>56</v>
      </c>
      <c r="E40">
        <f t="shared" ref="E40" si="82">$C$4-C40</f>
        <v>5744</v>
      </c>
      <c r="F40">
        <f t="shared" ref="F40" si="83">$O$2-C40</f>
        <v>252</v>
      </c>
      <c r="G40" t="s">
        <v>44</v>
      </c>
    </row>
    <row r="41" spans="1:7" x14ac:dyDescent="0.25">
      <c r="A41">
        <f t="shared" si="63"/>
        <v>-236</v>
      </c>
      <c r="B41" s="1" t="e">
        <f t="shared" si="1"/>
        <v>#VALUE!</v>
      </c>
      <c r="C41">
        <v>32672</v>
      </c>
      <c r="D41" s="2">
        <f t="shared" ref="D41" si="84">C40-C41</f>
        <v>-16</v>
      </c>
      <c r="E41">
        <f t="shared" ref="E41" si="85">$C$4-C41</f>
        <v>5728</v>
      </c>
      <c r="F41">
        <f t="shared" ref="F41" si="86">$O$2-C41</f>
        <v>236</v>
      </c>
      <c r="G41" t="s">
        <v>45</v>
      </c>
    </row>
    <row r="42" spans="1:7" x14ac:dyDescent="0.25">
      <c r="A42">
        <f t="shared" si="63"/>
        <v>-240</v>
      </c>
      <c r="B42" s="1" t="e">
        <f t="shared" si="1"/>
        <v>#VALUE!</v>
      </c>
      <c r="C42">
        <v>32668</v>
      </c>
      <c r="D42" s="2">
        <f t="shared" ref="D42" si="87">C41-C42</f>
        <v>4</v>
      </c>
      <c r="E42">
        <f t="shared" ref="E42" si="88">$C$4-C42</f>
        <v>5732</v>
      </c>
      <c r="F42">
        <f t="shared" ref="F42" si="89">$O$2-C42</f>
        <v>240</v>
      </c>
      <c r="G42" t="s">
        <v>46</v>
      </c>
    </row>
    <row r="43" spans="1:7" x14ac:dyDescent="0.25">
      <c r="A43">
        <f t="shared" si="63"/>
        <v>-220</v>
      </c>
      <c r="B43" s="1" t="e">
        <f t="shared" si="1"/>
        <v>#VALUE!</v>
      </c>
      <c r="C43">
        <v>32688</v>
      </c>
      <c r="D43" s="2">
        <f t="shared" ref="D43" si="90">C42-C43</f>
        <v>-20</v>
      </c>
      <c r="E43">
        <f t="shared" ref="E43" si="91">$C$4-C43</f>
        <v>5712</v>
      </c>
      <c r="F43">
        <f t="shared" ref="F43" si="92">$O$2-C43</f>
        <v>220</v>
      </c>
      <c r="G43" t="s">
        <v>47</v>
      </c>
    </row>
    <row r="44" spans="1:7" x14ac:dyDescent="0.25">
      <c r="A44">
        <f t="shared" si="63"/>
        <v>-196</v>
      </c>
      <c r="B44" s="1" t="e">
        <f t="shared" si="1"/>
        <v>#VALUE!</v>
      </c>
      <c r="C44">
        <v>32712</v>
      </c>
      <c r="D44" s="2">
        <f t="shared" ref="D44" si="93">C43-C44</f>
        <v>-24</v>
      </c>
      <c r="E44">
        <f t="shared" ref="E44" si="94">$C$4-C44</f>
        <v>5688</v>
      </c>
      <c r="F44">
        <f t="shared" ref="F44" si="95">$O$2-C44</f>
        <v>196</v>
      </c>
      <c r="G44" t="s">
        <v>48</v>
      </c>
    </row>
    <row r="45" spans="1:7" x14ac:dyDescent="0.25">
      <c r="A45">
        <f t="shared" si="63"/>
        <v>-84</v>
      </c>
      <c r="B45" s="1" t="e">
        <f t="shared" si="1"/>
        <v>#VALUE!</v>
      </c>
      <c r="C45">
        <v>32824</v>
      </c>
      <c r="D45" s="2">
        <f t="shared" ref="D45" si="96">C44-C45</f>
        <v>-112</v>
      </c>
      <c r="E45">
        <f t="shared" ref="E45" si="97">$C$4-C45</f>
        <v>5576</v>
      </c>
      <c r="F45">
        <f t="shared" ref="F45" si="98">$O$2-C45</f>
        <v>84</v>
      </c>
      <c r="G45" t="s">
        <v>49</v>
      </c>
    </row>
    <row r="46" spans="1:7" x14ac:dyDescent="0.25">
      <c r="A46">
        <f t="shared" si="63"/>
        <v>-152</v>
      </c>
      <c r="B46" s="1" t="e">
        <f t="shared" si="1"/>
        <v>#VALUE!</v>
      </c>
      <c r="C46">
        <v>32756</v>
      </c>
      <c r="D46" s="2">
        <f t="shared" ref="D46" si="99">C45-C46</f>
        <v>68</v>
      </c>
      <c r="E46">
        <f t="shared" ref="E46" si="100">$C$4-C46</f>
        <v>5644</v>
      </c>
      <c r="F46">
        <f t="shared" ref="F46" si="101">$O$2-C46</f>
        <v>152</v>
      </c>
      <c r="G46" t="s">
        <v>50</v>
      </c>
    </row>
    <row r="47" spans="1:7" x14ac:dyDescent="0.25">
      <c r="A47">
        <f t="shared" si="63"/>
        <v>-104</v>
      </c>
      <c r="B47" s="1" t="e">
        <f t="shared" si="1"/>
        <v>#VALUE!</v>
      </c>
      <c r="C47">
        <v>32804</v>
      </c>
      <c r="D47" s="2">
        <f t="shared" ref="D47" si="102">C46-C47</f>
        <v>-48</v>
      </c>
      <c r="E47">
        <f t="shared" ref="E47" si="103">$C$4-C47</f>
        <v>5596</v>
      </c>
      <c r="F47">
        <f t="shared" ref="F47" si="104">$O$2-C47</f>
        <v>104</v>
      </c>
      <c r="G47" t="s">
        <v>51</v>
      </c>
    </row>
    <row r="48" spans="1:7" x14ac:dyDescent="0.25">
      <c r="A48">
        <f t="shared" ref="A48:A54" si="105">C48-$O$2</f>
        <v>-164</v>
      </c>
      <c r="B48" s="1" t="e">
        <f t="shared" si="1"/>
        <v>#VALUE!</v>
      </c>
      <c r="C48">
        <v>32744</v>
      </c>
      <c r="D48" s="2">
        <f t="shared" ref="D48" si="106">C47-C48</f>
        <v>60</v>
      </c>
      <c r="E48">
        <f t="shared" ref="E48" si="107">$C$4-C48</f>
        <v>5656</v>
      </c>
      <c r="F48">
        <f t="shared" ref="F48" si="108">$O$2-C48</f>
        <v>164</v>
      </c>
      <c r="G48" t="s">
        <v>52</v>
      </c>
    </row>
    <row r="49" spans="1:7" x14ac:dyDescent="0.25">
      <c r="A49">
        <f t="shared" si="105"/>
        <v>204</v>
      </c>
      <c r="B49" s="1" t="str">
        <f t="shared" si="1"/>
        <v>###</v>
      </c>
      <c r="C49">
        <v>33112</v>
      </c>
      <c r="D49" s="2">
        <f t="shared" ref="D49" si="109">C48-C49</f>
        <v>-368</v>
      </c>
      <c r="E49">
        <f t="shared" ref="E49" si="110">$C$4-C49</f>
        <v>5288</v>
      </c>
      <c r="F49">
        <f t="shared" ref="F49" si="111">$O$2-C49</f>
        <v>-204</v>
      </c>
      <c r="G49" t="s">
        <v>53</v>
      </c>
    </row>
    <row r="50" spans="1:7" x14ac:dyDescent="0.25">
      <c r="A50">
        <f t="shared" si="105"/>
        <v>200</v>
      </c>
      <c r="B50" s="1" t="str">
        <f t="shared" si="1"/>
        <v>###</v>
      </c>
      <c r="C50">
        <v>33108</v>
      </c>
      <c r="D50" s="2">
        <f t="shared" ref="D50" si="112">C49-C50</f>
        <v>4</v>
      </c>
      <c r="E50">
        <f t="shared" ref="E50" si="113">$C$4-C50</f>
        <v>5292</v>
      </c>
      <c r="F50">
        <f t="shared" ref="F50" si="114">$O$2-C50</f>
        <v>-200</v>
      </c>
      <c r="G50" t="s">
        <v>54</v>
      </c>
    </row>
    <row r="51" spans="1:7" x14ac:dyDescent="0.25">
      <c r="A51">
        <f t="shared" si="105"/>
        <v>156</v>
      </c>
      <c r="B51" s="1" t="str">
        <f t="shared" si="1"/>
        <v>##</v>
      </c>
      <c r="C51">
        <v>33064</v>
      </c>
      <c r="D51" s="2">
        <f t="shared" ref="D51" si="115">C50-C51</f>
        <v>44</v>
      </c>
      <c r="E51">
        <f t="shared" ref="E51" si="116">$C$4-C51</f>
        <v>5336</v>
      </c>
      <c r="F51">
        <f t="shared" ref="F51" si="117">$O$2-C51</f>
        <v>-156</v>
      </c>
      <c r="G51" t="s">
        <v>55</v>
      </c>
    </row>
    <row r="52" spans="1:7" x14ac:dyDescent="0.25">
      <c r="A52">
        <f t="shared" si="105"/>
        <v>116</v>
      </c>
      <c r="B52" s="1" t="str">
        <f t="shared" si="1"/>
        <v>##</v>
      </c>
      <c r="C52">
        <v>33024</v>
      </c>
      <c r="D52" s="2">
        <f t="shared" ref="D52" si="118">C51-C52</f>
        <v>40</v>
      </c>
      <c r="E52">
        <f t="shared" ref="E52" si="119">$C$4-C52</f>
        <v>5376</v>
      </c>
      <c r="F52">
        <f t="shared" ref="F52" si="120">$O$2-C52</f>
        <v>-116</v>
      </c>
      <c r="G52" t="s">
        <v>56</v>
      </c>
    </row>
    <row r="53" spans="1:7" x14ac:dyDescent="0.25">
      <c r="A53">
        <f t="shared" si="105"/>
        <v>284</v>
      </c>
      <c r="B53" s="1" t="str">
        <f t="shared" si="1"/>
        <v>#####</v>
      </c>
      <c r="C53">
        <v>33192</v>
      </c>
      <c r="D53" s="2">
        <f t="shared" ref="D53" si="121">C52-C53</f>
        <v>-168</v>
      </c>
      <c r="E53">
        <f t="shared" ref="E53" si="122">$C$4-C53</f>
        <v>5208</v>
      </c>
      <c r="F53">
        <f t="shared" ref="F53" si="123">$O$2-C53</f>
        <v>-284</v>
      </c>
      <c r="G53" t="s">
        <v>57</v>
      </c>
    </row>
    <row r="54" spans="1:7" x14ac:dyDescent="0.25">
      <c r="A54">
        <f t="shared" si="105"/>
        <v>116</v>
      </c>
      <c r="B54" s="1" t="str">
        <f t="shared" si="1"/>
        <v>##</v>
      </c>
      <c r="C54">
        <v>33024</v>
      </c>
      <c r="D54" s="2">
        <f t="shared" ref="D54" si="124">C53-C54</f>
        <v>168</v>
      </c>
      <c r="E54">
        <f t="shared" ref="E54" si="125">$C$4-C54</f>
        <v>5376</v>
      </c>
      <c r="F54">
        <f t="shared" ref="F54" si="126">$O$2-C54</f>
        <v>-116</v>
      </c>
      <c r="G54" t="s">
        <v>58</v>
      </c>
    </row>
    <row r="55" spans="1:7" x14ac:dyDescent="0.25">
      <c r="A55">
        <f t="shared" ref="A55:A56" si="127">C55-$O$2</f>
        <v>92</v>
      </c>
      <c r="B55" s="1" t="str">
        <f t="shared" si="1"/>
        <v>#</v>
      </c>
      <c r="C55">
        <v>33000</v>
      </c>
      <c r="D55" s="2">
        <f t="shared" ref="D55" si="128">C54-C55</f>
        <v>24</v>
      </c>
      <c r="E55">
        <f t="shared" ref="E55" si="129">$C$4-C55</f>
        <v>5400</v>
      </c>
      <c r="F55">
        <f t="shared" ref="F55" si="130">$O$2-C55</f>
        <v>-92</v>
      </c>
      <c r="G55" t="s">
        <v>59</v>
      </c>
    </row>
    <row r="56" spans="1:7" x14ac:dyDescent="0.25">
      <c r="A56">
        <f t="shared" si="127"/>
        <v>16</v>
      </c>
      <c r="B56" s="1" t="str">
        <f t="shared" si="1"/>
        <v/>
      </c>
      <c r="C56">
        <v>32924</v>
      </c>
      <c r="D56" s="2">
        <f t="shared" ref="D56" si="131">C55-C56</f>
        <v>76</v>
      </c>
      <c r="E56">
        <f t="shared" ref="E56" si="132">$C$4-C56</f>
        <v>5476</v>
      </c>
      <c r="F56">
        <f t="shared" ref="F56" si="133">$O$2-C56</f>
        <v>-16</v>
      </c>
      <c r="G56" t="s">
        <v>60</v>
      </c>
    </row>
    <row r="57" spans="1:7" x14ac:dyDescent="0.25">
      <c r="A57">
        <f t="shared" ref="A57:A58" si="134">C57-$O$2</f>
        <v>-8</v>
      </c>
      <c r="B57" s="1" t="e">
        <f t="shared" si="1"/>
        <v>#VALUE!</v>
      </c>
      <c r="C57">
        <v>32900</v>
      </c>
      <c r="D57" s="2">
        <f t="shared" ref="D57" si="135">C56-C57</f>
        <v>24</v>
      </c>
      <c r="E57">
        <f t="shared" ref="E57" si="136">$C$4-C57</f>
        <v>5500</v>
      </c>
      <c r="F57">
        <f t="shared" ref="F57" si="137">$O$2-C57</f>
        <v>8</v>
      </c>
      <c r="G57" t="s">
        <v>61</v>
      </c>
    </row>
    <row r="58" spans="1:7" x14ac:dyDescent="0.25">
      <c r="A58">
        <f t="shared" si="134"/>
        <v>56</v>
      </c>
      <c r="B58" s="1" t="str">
        <f t="shared" si="1"/>
        <v>#</v>
      </c>
      <c r="C58">
        <v>32964</v>
      </c>
      <c r="D58" s="2">
        <f t="shared" ref="D58" si="138">C57-C58</f>
        <v>-64</v>
      </c>
      <c r="E58">
        <f t="shared" ref="E58" si="139">$C$4-C58</f>
        <v>5436</v>
      </c>
      <c r="F58">
        <f t="shared" ref="F58" si="140">$O$2-C58</f>
        <v>-56</v>
      </c>
      <c r="G58" t="s">
        <v>62</v>
      </c>
    </row>
    <row r="59" spans="1:7" x14ac:dyDescent="0.25">
      <c r="A59">
        <f t="shared" ref="A59:A60" si="141">C59-$O$2</f>
        <v>12</v>
      </c>
      <c r="B59" s="1" t="str">
        <f t="shared" ref="B59:B60" si="142">REPT("#",A59*100/MAX(A:A))</f>
        <v/>
      </c>
      <c r="C59">
        <v>32920</v>
      </c>
      <c r="D59" s="2">
        <f t="shared" ref="D59" si="143">C58-C59</f>
        <v>44</v>
      </c>
      <c r="E59">
        <f t="shared" ref="E59" si="144">$C$4-C59</f>
        <v>5480</v>
      </c>
      <c r="F59">
        <f t="shared" ref="F59" si="145">$O$2-C59</f>
        <v>-12</v>
      </c>
      <c r="G59" t="s">
        <v>63</v>
      </c>
    </row>
    <row r="60" spans="1:7" x14ac:dyDescent="0.25">
      <c r="A60">
        <f t="shared" si="141"/>
        <v>-68</v>
      </c>
      <c r="B60" s="1" t="e">
        <f t="shared" si="142"/>
        <v>#VALUE!</v>
      </c>
      <c r="C60">
        <v>32840</v>
      </c>
      <c r="D60" s="2">
        <f t="shared" ref="D60" si="146">C59-C60</f>
        <v>80</v>
      </c>
      <c r="E60">
        <f t="shared" ref="E60" si="147">$C$4-C60</f>
        <v>5560</v>
      </c>
      <c r="F60">
        <f t="shared" ref="F60" si="148">$O$2-C60</f>
        <v>68</v>
      </c>
      <c r="G60" t="s">
        <v>64</v>
      </c>
    </row>
    <row r="61" spans="1:7" x14ac:dyDescent="0.25">
      <c r="A61">
        <f t="shared" ref="A61:A65" si="149">C61-$O$2</f>
        <v>16</v>
      </c>
      <c r="B61" s="1" t="str">
        <f t="shared" ref="B61:B65" si="150">REPT("#",A61*100/MAX(A:A))</f>
        <v/>
      </c>
      <c r="C61">
        <v>32924</v>
      </c>
      <c r="D61" s="2">
        <f t="shared" ref="D61" si="151">C60-C61</f>
        <v>-84</v>
      </c>
      <c r="E61">
        <f t="shared" ref="E61" si="152">$C$4-C61</f>
        <v>5476</v>
      </c>
      <c r="F61">
        <f t="shared" ref="F61" si="153">$O$2-C61</f>
        <v>-16</v>
      </c>
      <c r="G61" t="s">
        <v>65</v>
      </c>
    </row>
    <row r="62" spans="1:7" x14ac:dyDescent="0.25">
      <c r="A62">
        <f t="shared" si="149"/>
        <v>56</v>
      </c>
      <c r="B62" s="1" t="str">
        <f t="shared" si="150"/>
        <v>#</v>
      </c>
      <c r="C62">
        <v>32964</v>
      </c>
      <c r="D62" s="2">
        <f t="shared" ref="D62" si="154">C61-C62</f>
        <v>-40</v>
      </c>
      <c r="E62">
        <f t="shared" ref="E62" si="155">$C$4-C62</f>
        <v>5436</v>
      </c>
      <c r="F62">
        <f t="shared" ref="F62" si="156">$O$2-C62</f>
        <v>-56</v>
      </c>
      <c r="G62" t="s">
        <v>66</v>
      </c>
    </row>
    <row r="63" spans="1:7" x14ac:dyDescent="0.25">
      <c r="A63">
        <f t="shared" si="149"/>
        <v>-24</v>
      </c>
      <c r="B63" s="1" t="e">
        <f t="shared" si="150"/>
        <v>#VALUE!</v>
      </c>
      <c r="C63">
        <v>32884</v>
      </c>
      <c r="D63" s="2">
        <f t="shared" ref="D63" si="157">C62-C63</f>
        <v>80</v>
      </c>
      <c r="E63">
        <f t="shared" ref="E63" si="158">$C$4-C63</f>
        <v>5516</v>
      </c>
      <c r="F63">
        <f t="shared" ref="F63" si="159">$O$2-C63</f>
        <v>24</v>
      </c>
      <c r="G63" t="s">
        <v>67</v>
      </c>
    </row>
    <row r="64" spans="1:7" x14ac:dyDescent="0.25">
      <c r="A64">
        <f t="shared" si="149"/>
        <v>500</v>
      </c>
      <c r="B64" s="1" t="str">
        <f t="shared" si="150"/>
        <v>#########</v>
      </c>
      <c r="C64">
        <v>33408</v>
      </c>
      <c r="D64" s="2">
        <f t="shared" ref="D64" si="160">C63-C64</f>
        <v>-524</v>
      </c>
      <c r="E64">
        <f t="shared" ref="E64" si="161">$C$4-C64</f>
        <v>4992</v>
      </c>
      <c r="F64">
        <f t="shared" ref="F64" si="162">$O$2-C64</f>
        <v>-500</v>
      </c>
      <c r="G64" t="s">
        <v>68</v>
      </c>
    </row>
    <row r="65" spans="1:7" x14ac:dyDescent="0.25">
      <c r="A65">
        <f t="shared" si="149"/>
        <v>300</v>
      </c>
      <c r="B65" s="1" t="str">
        <f t="shared" si="150"/>
        <v>#####</v>
      </c>
      <c r="C65">
        <v>33208</v>
      </c>
      <c r="D65" s="2">
        <f t="shared" ref="D65" si="163">C64-C65</f>
        <v>200</v>
      </c>
      <c r="E65">
        <f t="shared" ref="E65" si="164">$C$4-C65</f>
        <v>5192</v>
      </c>
      <c r="F65">
        <f t="shared" ref="F65" si="165">$O$2-C65</f>
        <v>-300</v>
      </c>
      <c r="G65" t="s">
        <v>69</v>
      </c>
    </row>
    <row r="66" spans="1:7" x14ac:dyDescent="0.25">
      <c r="A66">
        <f t="shared" ref="A66:A70" si="166">C66-$O$2</f>
        <v>248</v>
      </c>
      <c r="B66" s="1" t="str">
        <f t="shared" ref="B66:B70" si="167">REPT("#",A66*100/MAX(A:A))</f>
        <v>####</v>
      </c>
      <c r="C66">
        <v>33156</v>
      </c>
      <c r="D66" s="2">
        <f t="shared" ref="D66" si="168">C65-C66</f>
        <v>52</v>
      </c>
      <c r="E66">
        <f t="shared" ref="E66" si="169">$C$4-C66</f>
        <v>5244</v>
      </c>
      <c r="F66">
        <f t="shared" ref="F66" si="170">$O$2-C66</f>
        <v>-248</v>
      </c>
      <c r="G66" t="s">
        <v>70</v>
      </c>
    </row>
    <row r="67" spans="1:7" x14ac:dyDescent="0.25">
      <c r="A67">
        <f t="shared" si="166"/>
        <v>184</v>
      </c>
      <c r="B67" s="1" t="str">
        <f t="shared" si="167"/>
        <v>###</v>
      </c>
      <c r="C67">
        <v>33092</v>
      </c>
      <c r="D67" s="2">
        <f t="shared" ref="D67" si="171">C66-C67</f>
        <v>64</v>
      </c>
      <c r="E67">
        <f t="shared" ref="E67" si="172">$C$4-C67</f>
        <v>5308</v>
      </c>
      <c r="F67">
        <f t="shared" ref="F67" si="173">$O$2-C67</f>
        <v>-184</v>
      </c>
      <c r="G67" t="s">
        <v>71</v>
      </c>
    </row>
    <row r="68" spans="1:7" x14ac:dyDescent="0.25">
      <c r="A68">
        <f t="shared" si="166"/>
        <v>76</v>
      </c>
      <c r="B68" s="1" t="str">
        <f t="shared" si="167"/>
        <v>#</v>
      </c>
      <c r="C68">
        <v>32984</v>
      </c>
      <c r="D68" s="2">
        <f t="shared" ref="D68" si="174">C67-C68</f>
        <v>108</v>
      </c>
      <c r="E68">
        <f t="shared" ref="E68" si="175">$C$4-C68</f>
        <v>5416</v>
      </c>
      <c r="F68">
        <f t="shared" ref="F68" si="176">$O$2-C68</f>
        <v>-76</v>
      </c>
      <c r="G68" t="s">
        <v>72</v>
      </c>
    </row>
    <row r="69" spans="1:7" x14ac:dyDescent="0.25">
      <c r="A69">
        <f t="shared" si="166"/>
        <v>88</v>
      </c>
      <c r="B69" s="1" t="str">
        <f t="shared" si="167"/>
        <v>#</v>
      </c>
      <c r="C69">
        <v>32996</v>
      </c>
      <c r="D69" s="2">
        <f t="shared" ref="D69" si="177">C68-C69</f>
        <v>-12</v>
      </c>
      <c r="E69">
        <f t="shared" ref="E69" si="178">$C$4-C69</f>
        <v>5404</v>
      </c>
      <c r="F69">
        <f t="shared" ref="F69" si="179">$O$2-C69</f>
        <v>-88</v>
      </c>
      <c r="G69" t="s">
        <v>73</v>
      </c>
    </row>
    <row r="70" spans="1:7" x14ac:dyDescent="0.25">
      <c r="A70">
        <f t="shared" si="166"/>
        <v>72</v>
      </c>
      <c r="B70" s="1" t="str">
        <f t="shared" si="167"/>
        <v>#</v>
      </c>
      <c r="C70">
        <v>32980</v>
      </c>
      <c r="D70" s="2">
        <f t="shared" ref="D70" si="180">C69-C70</f>
        <v>16</v>
      </c>
      <c r="E70">
        <f t="shared" ref="E70" si="181">$C$4-C70</f>
        <v>5420</v>
      </c>
      <c r="F70">
        <f t="shared" ref="F70" si="182">$O$2-C70</f>
        <v>-72</v>
      </c>
      <c r="G70" t="s">
        <v>74</v>
      </c>
    </row>
    <row r="71" spans="1:7" x14ac:dyDescent="0.25">
      <c r="A71">
        <f t="shared" ref="A71:A73" si="183">C71-$O$2</f>
        <v>52</v>
      </c>
      <c r="B71" s="1" t="str">
        <f t="shared" ref="B71:B73" si="184">REPT("#",A71*100/MAX(A:A))</f>
        <v/>
      </c>
      <c r="C71">
        <v>32960</v>
      </c>
      <c r="D71" s="2">
        <f t="shared" ref="D71" si="185">C70-C71</f>
        <v>20</v>
      </c>
      <c r="E71">
        <f t="shared" ref="E71" si="186">$C$4-C71</f>
        <v>5440</v>
      </c>
      <c r="F71">
        <f t="shared" ref="F71" si="187">$O$2-C71</f>
        <v>-52</v>
      </c>
      <c r="G71" t="s">
        <v>75</v>
      </c>
    </row>
    <row r="72" spans="1:7" x14ac:dyDescent="0.25">
      <c r="A72">
        <f t="shared" si="183"/>
        <v>-52</v>
      </c>
      <c r="B72" s="1" t="e">
        <f t="shared" si="184"/>
        <v>#VALUE!</v>
      </c>
      <c r="C72">
        <v>32856</v>
      </c>
      <c r="D72" s="2">
        <f t="shared" ref="D72" si="188">C71-C72</f>
        <v>104</v>
      </c>
      <c r="E72">
        <f t="shared" ref="E72" si="189">$C$4-C72</f>
        <v>5544</v>
      </c>
      <c r="F72">
        <f t="shared" ref="F72" si="190">$O$2-C72</f>
        <v>52</v>
      </c>
      <c r="G72" t="s">
        <v>76</v>
      </c>
    </row>
    <row r="73" spans="1:7" x14ac:dyDescent="0.25">
      <c r="A73">
        <f t="shared" si="183"/>
        <v>-136</v>
      </c>
      <c r="B73" s="1" t="e">
        <f t="shared" si="184"/>
        <v>#VALUE!</v>
      </c>
      <c r="C73">
        <v>32772</v>
      </c>
      <c r="D73" s="2">
        <f t="shared" ref="D73" si="191">C72-C73</f>
        <v>84</v>
      </c>
      <c r="E73">
        <f t="shared" ref="E73" si="192">$C$4-C73</f>
        <v>5628</v>
      </c>
      <c r="F73">
        <f t="shared" ref="F73" si="193">$O$2-C73</f>
        <v>136</v>
      </c>
      <c r="G73" t="s">
        <v>77</v>
      </c>
    </row>
    <row r="74" spans="1:7" x14ac:dyDescent="0.25">
      <c r="A74">
        <f t="shared" ref="A74:A75" si="194">C74-$O$2</f>
        <v>-184</v>
      </c>
      <c r="B74" s="1" t="e">
        <f t="shared" ref="B74:B75" si="195">REPT("#",A74*100/MAX(A:A))</f>
        <v>#VALUE!</v>
      </c>
      <c r="C74">
        <v>32724</v>
      </c>
      <c r="D74" s="2">
        <f t="shared" ref="D74" si="196">C73-C74</f>
        <v>48</v>
      </c>
      <c r="E74">
        <f t="shared" ref="E74" si="197">$C$4-C74</f>
        <v>5676</v>
      </c>
      <c r="F74">
        <f t="shared" ref="F74" si="198">$O$2-C74</f>
        <v>184</v>
      </c>
      <c r="G74" t="s">
        <v>78</v>
      </c>
    </row>
    <row r="75" spans="1:7" x14ac:dyDescent="0.25">
      <c r="A75">
        <f t="shared" si="194"/>
        <v>-32</v>
      </c>
      <c r="B75" s="1" t="e">
        <f t="shared" si="195"/>
        <v>#VALUE!</v>
      </c>
      <c r="C75">
        <v>32876</v>
      </c>
      <c r="D75" s="2">
        <f t="shared" ref="D75" si="199">C74-C75</f>
        <v>-152</v>
      </c>
      <c r="E75">
        <f t="shared" ref="E75" si="200">$C$4-C75</f>
        <v>5524</v>
      </c>
      <c r="F75">
        <f t="shared" ref="F75" si="201">$O$2-C75</f>
        <v>32</v>
      </c>
      <c r="G7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Corcoran</dc:creator>
  <cp:lastModifiedBy>Carl Corcoran</cp:lastModifiedBy>
  <dcterms:created xsi:type="dcterms:W3CDTF">2026-03-01T10:07:45Z</dcterms:created>
  <dcterms:modified xsi:type="dcterms:W3CDTF">2026-03-13T14:24:12Z</dcterms:modified>
</cp:coreProperties>
</file>