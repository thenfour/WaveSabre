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oot\git\thenfour\WaveSabre\"/>
    </mc:Choice>
  </mc:AlternateContent>
  <xr:revisionPtr revIDLastSave="0" documentId="13_ncr:1_{7CF349C1-6EBF-48D5-930C-18E73546A464}" xr6:coauthVersionLast="47" xr6:coauthVersionMax="47" xr10:uidLastSave="{00000000-0000-0000-0000-000000000000}"/>
  <bookViews>
    <workbookView xWindow="8640" yWindow="225" windowWidth="25005" windowHeight="16545" xr2:uid="{57C643F4-F52E-40AC-8074-51E8A42F966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9" i="1" l="1"/>
  <c r="E19" i="1"/>
  <c r="F19" i="1"/>
  <c r="A18" i="1"/>
  <c r="B5" i="1" s="1"/>
  <c r="A19" i="1"/>
  <c r="B13" i="1" s="1"/>
  <c r="B19" i="1"/>
  <c r="D18" i="1"/>
  <c r="E18" i="1"/>
  <c r="F18" i="1"/>
  <c r="B12" i="1"/>
  <c r="B16" i="1"/>
  <c r="B17" i="1"/>
  <c r="B3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D17" i="1"/>
  <c r="E17" i="1"/>
  <c r="F17" i="1"/>
  <c r="D16" i="1"/>
  <c r="E16" i="1"/>
  <c r="F16" i="1"/>
  <c r="D15" i="1"/>
  <c r="E15" i="1"/>
  <c r="F15" i="1"/>
  <c r="D14" i="1"/>
  <c r="E14" i="1"/>
  <c r="F14" i="1"/>
  <c r="D13" i="1"/>
  <c r="E13" i="1"/>
  <c r="F13" i="1"/>
  <c r="D12" i="1"/>
  <c r="E12" i="1"/>
  <c r="F12" i="1"/>
  <c r="D11" i="1"/>
  <c r="E11" i="1"/>
  <c r="F11" i="1"/>
  <c r="D10" i="1"/>
  <c r="E10" i="1"/>
  <c r="F10" i="1"/>
  <c r="D9" i="1"/>
  <c r="E9" i="1"/>
  <c r="F9" i="1"/>
  <c r="D8" i="1"/>
  <c r="E8" i="1"/>
  <c r="F8" i="1"/>
  <c r="D7" i="1"/>
  <c r="E7" i="1"/>
  <c r="F7" i="1"/>
  <c r="F5" i="1"/>
  <c r="F6" i="1"/>
  <c r="F4" i="1"/>
  <c r="D6" i="1"/>
  <c r="E6" i="1"/>
  <c r="E4" i="1"/>
  <c r="E5" i="1"/>
  <c r="D5" i="1"/>
  <c r="B15" i="1" l="1"/>
  <c r="B14" i="1"/>
  <c r="B11" i="1"/>
  <c r="B10" i="1"/>
  <c r="B9" i="1"/>
  <c r="B8" i="1"/>
  <c r="B7" i="1"/>
  <c r="B6" i="1"/>
  <c r="B4" i="1"/>
  <c r="B18" i="1"/>
</calcChain>
</file>

<file path=xl/sharedStrings.xml><?xml version="1.0" encoding="utf-8"?>
<sst xmlns="http://schemas.openxmlformats.org/spreadsheetml/2006/main" count="24" uniqueCount="24">
  <si>
    <t>with leveller, maj7space, mbc, maj7, 64-bit</t>
  </si>
  <si>
    <t>with leveller, maj7space, mbc, maj7, 32-bit</t>
  </si>
  <si>
    <t>with leveller, maj7space, mbc, maj7, 32-bit -- WITH PDB</t>
  </si>
  <si>
    <t>inline svfilter</t>
  </si>
  <si>
    <t>remove redundant data (no change) + remove compensation gain</t>
  </si>
  <si>
    <t>target</t>
  </si>
  <si>
    <t>current unpadded</t>
  </si>
  <si>
    <t>save since last</t>
  </si>
  <si>
    <t>save total</t>
  </si>
  <si>
    <t>balance</t>
  </si>
  <si>
    <t>optimize diode + a bunch of build fixes for 32-bit</t>
  </si>
  <si>
    <t>remove magnitude at frequency &amp; doesSupport</t>
  </si>
  <si>
    <t>dedupe grain cycle</t>
  </si>
  <si>
    <t>biquad remove mag@freq, deinline (wut)</t>
  </si>
  <si>
    <t>more biquad/cascaded biquad tiny tweaks</t>
  </si>
  <si>
    <t>exclude diode &amp; k35 filters</t>
  </si>
  <si>
    <t>simplified SAH core</t>
  </si>
  <si>
    <t>refactored envelope node</t>
  </si>
  <si>
    <t>disable analog &amp; rare models</t>
  </si>
  <si>
    <t>disable folded triangle</t>
  </si>
  <si>
    <t>re-enable analog mix</t>
  </si>
  <si>
    <t>env remove unused fn</t>
  </si>
  <si>
    <t>140 bytes between debug info and not</t>
  </si>
  <si>
    <t>clamp noinline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</si>
</sst>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_ ;[Red]\-0\ "/>
  </numFmts>
  <fonts count="3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6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F08B1-9BA5-43A8-9C7E-633386A766E4}">
  <dimension ref="A1:O19"/>
  <sheetViews>
    <sheetView tabSelected="1" workbookViewId="0">
      <pane ySplit="1" topLeftCell="A2" activePane="bottomLeft" state="frozen"/>
      <selection pane="bottomLeft" activeCell="G20" sqref="G20"/>
    </sheetView>
  </sheetViews>
  <sheetFormatPr defaultRowHeight="15" x14ac:dyDescent="0.25"/>
  <cols>
    <col min="2" max="2" width="45" style="1" bestFit="1" customWidth="1"/>
    <col min="3" max="3" width="17" bestFit="1" customWidth="1"/>
    <col min="4" max="4" width="13.7109375" style="2" bestFit="1" customWidth="1"/>
    <col min="5" max="6" width="6" customWidth="1"/>
  </cols>
  <sheetData>
    <row r="1" spans="1:15" x14ac:dyDescent="0.25">
      <c r="C1" t="s">
        <v>6</v>
      </c>
      <c r="D1" s="2" t="s">
        <v>7</v>
      </c>
      <c r="E1" t="s">
        <v>8</v>
      </c>
      <c r="F1" t="s">
        <v>9</v>
      </c>
    </row>
    <row r="2" spans="1:15" x14ac:dyDescent="0.25">
      <c r="G2" t="s">
        <v>0</v>
      </c>
      <c r="N2" t="s">
        <v>5</v>
      </c>
      <c r="O2">
        <v>32768</v>
      </c>
    </row>
    <row r="3" spans="1:15" x14ac:dyDescent="0.25">
      <c r="A3">
        <f t="shared" ref="A3:A17" si="0">C3-$O$2</f>
        <v>5120</v>
      </c>
      <c r="B3" s="1" t="str">
        <f>REPT("|",A3*60/MAX(A:A))</f>
        <v>||||||||||||||||||||||||||||||||||||||||||||||||||||||</v>
      </c>
      <c r="C3">
        <v>37888</v>
      </c>
      <c r="G3" t="s">
        <v>1</v>
      </c>
      <c r="N3" t="s">
        <v>22</v>
      </c>
    </row>
    <row r="4" spans="1:15" x14ac:dyDescent="0.25">
      <c r="A4">
        <f t="shared" si="0"/>
        <v>5632</v>
      </c>
      <c r="B4" s="1" t="str">
        <f t="shared" ref="B4:B19" si="1">REPT("|",A4*60/MAX(A:A))</f>
        <v>||||||||||||||||||||||||||||||||||||||||||||||||||||||||||||</v>
      </c>
      <c r="C4">
        <v>38400</v>
      </c>
      <c r="E4">
        <f>$C$4-C4</f>
        <v>0</v>
      </c>
      <c r="F4">
        <f>$O$2-C4</f>
        <v>-5632</v>
      </c>
      <c r="G4" t="s">
        <v>2</v>
      </c>
    </row>
    <row r="5" spans="1:15" x14ac:dyDescent="0.25">
      <c r="A5">
        <f t="shared" si="0"/>
        <v>5120</v>
      </c>
      <c r="B5" s="1" t="str">
        <f t="shared" si="1"/>
        <v>||||||||||||||||||||||||||||||||||||||||||||||||||||||</v>
      </c>
      <c r="C5">
        <v>37888</v>
      </c>
      <c r="D5" s="2">
        <f>C4-C5</f>
        <v>512</v>
      </c>
      <c r="E5">
        <f>$C$4-C5</f>
        <v>512</v>
      </c>
      <c r="F5">
        <f t="shared" ref="F5:F6" si="2">$O$2-C5</f>
        <v>-5120</v>
      </c>
      <c r="G5" t="s">
        <v>3</v>
      </c>
    </row>
    <row r="6" spans="1:15" x14ac:dyDescent="0.25">
      <c r="A6">
        <f t="shared" si="0"/>
        <v>4608</v>
      </c>
      <c r="B6" s="1" t="str">
        <f t="shared" si="1"/>
        <v>|||||||||||||||||||||||||||||||||||||||||||||||||</v>
      </c>
      <c r="C6">
        <v>37376</v>
      </c>
      <c r="D6" s="2">
        <f>C5-C6</f>
        <v>512</v>
      </c>
      <c r="E6">
        <f>$C$4-C6</f>
        <v>1024</v>
      </c>
      <c r="F6">
        <f t="shared" si="2"/>
        <v>-4608</v>
      </c>
      <c r="G6" t="s">
        <v>4</v>
      </c>
    </row>
    <row r="7" spans="1:15" x14ac:dyDescent="0.25">
      <c r="A7">
        <f t="shared" si="0"/>
        <v>4624</v>
      </c>
      <c r="B7" s="1" t="str">
        <f t="shared" si="1"/>
        <v>|||||||||||||||||||||||||||||||||||||||||||||||||</v>
      </c>
      <c r="C7">
        <v>37392</v>
      </c>
      <c r="D7" s="2">
        <f t="shared" ref="D7:D19" si="3">C6-C7</f>
        <v>-16</v>
      </c>
      <c r="E7">
        <f>$C$4-C7</f>
        <v>1008</v>
      </c>
      <c r="F7">
        <f>$O$2-C7</f>
        <v>-4624</v>
      </c>
      <c r="G7" t="s">
        <v>10</v>
      </c>
    </row>
    <row r="8" spans="1:15" x14ac:dyDescent="0.25">
      <c r="A8">
        <f t="shared" si="0"/>
        <v>3868</v>
      </c>
      <c r="B8" s="1" t="str">
        <f t="shared" si="1"/>
        <v>|||||||||||||||||||||||||||||||||||||||||</v>
      </c>
      <c r="C8">
        <v>36636</v>
      </c>
      <c r="D8" s="2">
        <f t="shared" si="3"/>
        <v>756</v>
      </c>
      <c r="E8">
        <f t="shared" ref="E8" si="4">$C$4-C8</f>
        <v>1764</v>
      </c>
      <c r="F8">
        <f t="shared" ref="F8" si="5">$O$2-C8</f>
        <v>-3868</v>
      </c>
      <c r="G8" t="s">
        <v>11</v>
      </c>
    </row>
    <row r="9" spans="1:15" x14ac:dyDescent="0.25">
      <c r="A9">
        <f t="shared" si="0"/>
        <v>3856</v>
      </c>
      <c r="B9" s="1" t="str">
        <f t="shared" si="1"/>
        <v>|||||||||||||||||||||||||||||||||||||||||</v>
      </c>
      <c r="C9">
        <v>36624</v>
      </c>
      <c r="D9" s="2">
        <f t="shared" si="3"/>
        <v>12</v>
      </c>
      <c r="E9">
        <f t="shared" ref="E9" si="6">$C$4-C9</f>
        <v>1776</v>
      </c>
      <c r="F9">
        <f t="shared" ref="F9" si="7">$O$2-C9</f>
        <v>-3856</v>
      </c>
      <c r="G9" t="s">
        <v>12</v>
      </c>
    </row>
    <row r="10" spans="1:15" x14ac:dyDescent="0.25">
      <c r="A10">
        <f t="shared" si="0"/>
        <v>3864</v>
      </c>
      <c r="B10" s="1" t="str">
        <f t="shared" si="1"/>
        <v>|||||||||||||||||||||||||||||||||||||||||</v>
      </c>
      <c r="C10">
        <v>36632</v>
      </c>
      <c r="D10" s="2">
        <f t="shared" si="3"/>
        <v>-8</v>
      </c>
      <c r="E10">
        <f t="shared" ref="E10" si="8">$C$4-C10</f>
        <v>1768</v>
      </c>
      <c r="F10">
        <f t="shared" ref="F10" si="9">$O$2-C10</f>
        <v>-3864</v>
      </c>
      <c r="G10" t="s">
        <v>13</v>
      </c>
    </row>
    <row r="11" spans="1:15" x14ac:dyDescent="0.25">
      <c r="A11">
        <f t="shared" si="0"/>
        <v>3880</v>
      </c>
      <c r="B11" s="1" t="str">
        <f t="shared" si="1"/>
        <v>|||||||||||||||||||||||||||||||||||||||||</v>
      </c>
      <c r="C11">
        <v>36648</v>
      </c>
      <c r="D11" s="2">
        <f t="shared" si="3"/>
        <v>-16</v>
      </c>
      <c r="E11">
        <f t="shared" ref="E11" si="10">$C$4-C11</f>
        <v>1752</v>
      </c>
      <c r="F11">
        <f t="shared" ref="F11" si="11">$O$2-C11</f>
        <v>-3880</v>
      </c>
      <c r="G11" t="s">
        <v>14</v>
      </c>
    </row>
    <row r="12" spans="1:15" x14ac:dyDescent="0.25">
      <c r="A12">
        <f t="shared" si="0"/>
        <v>3152</v>
      </c>
      <c r="B12" s="1" t="str">
        <f t="shared" si="1"/>
        <v>|||||||||||||||||||||||||||||||||</v>
      </c>
      <c r="C12">
        <v>35920</v>
      </c>
      <c r="D12" s="2">
        <f t="shared" si="3"/>
        <v>728</v>
      </c>
      <c r="E12">
        <f t="shared" ref="E12" si="12">$C$4-C12</f>
        <v>2480</v>
      </c>
      <c r="F12">
        <f t="shared" ref="F12" si="13">$O$2-C12</f>
        <v>-3152</v>
      </c>
      <c r="G12" t="s">
        <v>15</v>
      </c>
    </row>
    <row r="13" spans="1:15" x14ac:dyDescent="0.25">
      <c r="A13">
        <f t="shared" si="0"/>
        <v>3076</v>
      </c>
      <c r="B13" s="1" t="str">
        <f t="shared" si="1"/>
        <v>||||||||||||||||||||||||||||||||</v>
      </c>
      <c r="C13">
        <v>35844</v>
      </c>
      <c r="D13" s="2">
        <f t="shared" si="3"/>
        <v>76</v>
      </c>
      <c r="E13">
        <f t="shared" ref="E13" si="14">$C$4-C13</f>
        <v>2556</v>
      </c>
      <c r="F13">
        <f t="shared" ref="F13" si="15">$O$2-C13</f>
        <v>-3076</v>
      </c>
      <c r="G13" t="s">
        <v>16</v>
      </c>
    </row>
    <row r="14" spans="1:15" x14ac:dyDescent="0.25">
      <c r="A14">
        <f t="shared" si="0"/>
        <v>3068</v>
      </c>
      <c r="B14" s="1" t="str">
        <f t="shared" si="1"/>
        <v>||||||||||||||||||||||||||||||||</v>
      </c>
      <c r="C14">
        <v>35836</v>
      </c>
      <c r="D14" s="2">
        <f t="shared" si="3"/>
        <v>8</v>
      </c>
      <c r="E14">
        <f t="shared" ref="E14" si="16">$C$4-C14</f>
        <v>2564</v>
      </c>
      <c r="F14">
        <f t="shared" ref="F14" si="17">$O$2-C14</f>
        <v>-3068</v>
      </c>
      <c r="G14" t="s">
        <v>17</v>
      </c>
    </row>
    <row r="15" spans="1:15" x14ac:dyDescent="0.25">
      <c r="A15">
        <f t="shared" si="0"/>
        <v>2824</v>
      </c>
      <c r="B15" s="1" t="str">
        <f t="shared" si="1"/>
        <v>||||||||||||||||||||||||||||||</v>
      </c>
      <c r="C15">
        <v>35592</v>
      </c>
      <c r="D15" s="2">
        <f t="shared" si="3"/>
        <v>244</v>
      </c>
      <c r="E15">
        <f t="shared" ref="E15" si="18">$C$4-C15</f>
        <v>2808</v>
      </c>
      <c r="F15">
        <f t="shared" ref="F15" si="19">$O$2-C15</f>
        <v>-2824</v>
      </c>
      <c r="G15" t="s">
        <v>18</v>
      </c>
    </row>
    <row r="16" spans="1:15" x14ac:dyDescent="0.25">
      <c r="A16">
        <f t="shared" si="0"/>
        <v>1452</v>
      </c>
      <c r="B16" s="1" t="str">
        <f t="shared" si="1"/>
        <v>|||||||||||||||</v>
      </c>
      <c r="C16">
        <v>34220</v>
      </c>
      <c r="D16" s="2">
        <f t="shared" si="3"/>
        <v>1372</v>
      </c>
      <c r="E16">
        <f t="shared" ref="E16" si="20">$C$4-C16</f>
        <v>4180</v>
      </c>
      <c r="F16">
        <f t="shared" ref="F16" si="21">$O$2-C16</f>
        <v>-1452</v>
      </c>
      <c r="G16" t="s">
        <v>19</v>
      </c>
    </row>
    <row r="17" spans="1:7" x14ac:dyDescent="0.25">
      <c r="A17">
        <f t="shared" si="0"/>
        <v>1512</v>
      </c>
      <c r="B17" s="1" t="str">
        <f t="shared" si="1"/>
        <v>||||||||||||||||</v>
      </c>
      <c r="C17">
        <v>34280</v>
      </c>
      <c r="D17" s="2">
        <f t="shared" si="3"/>
        <v>-60</v>
      </c>
      <c r="E17">
        <f t="shared" ref="E17" si="22">$C$4-C17</f>
        <v>4120</v>
      </c>
      <c r="F17">
        <f t="shared" ref="F17" si="23">$O$2-C17</f>
        <v>-1512</v>
      </c>
      <c r="G17" t="s">
        <v>20</v>
      </c>
    </row>
    <row r="18" spans="1:7" x14ac:dyDescent="0.25">
      <c r="A18">
        <f t="shared" ref="A18:A19" si="24">C18-$O$2</f>
        <v>1508</v>
      </c>
      <c r="B18" s="1" t="str">
        <f t="shared" si="1"/>
        <v>||||||||||||||||</v>
      </c>
      <c r="C18">
        <v>34276</v>
      </c>
      <c r="D18" s="2">
        <f t="shared" si="3"/>
        <v>4</v>
      </c>
      <c r="E18">
        <f t="shared" ref="E18:E19" si="25">$C$4-C18</f>
        <v>4124</v>
      </c>
      <c r="F18">
        <f t="shared" ref="F18:F19" si="26">$O$2-C18</f>
        <v>-1508</v>
      </c>
      <c r="G18" t="s">
        <v>21</v>
      </c>
    </row>
    <row r="19" spans="1:7" x14ac:dyDescent="0.25">
      <c r="A19">
        <f t="shared" si="24"/>
        <v>1424</v>
      </c>
      <c r="B19" s="1" t="str">
        <f t="shared" si="1"/>
        <v>|||||||||||||||</v>
      </c>
      <c r="C19">
        <v>34192</v>
      </c>
      <c r="D19" s="2">
        <f t="shared" si="3"/>
        <v>84</v>
      </c>
      <c r="E19">
        <f t="shared" ref="E19" si="27">$C$4-C19</f>
        <v>4208</v>
      </c>
      <c r="F19">
        <f t="shared" ref="F19" si="28">$O$2-C19</f>
        <v>-1424</v>
      </c>
      <c r="G19" t="s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Corcoran</dc:creator>
  <cp:lastModifiedBy>Carl Corcoran</cp:lastModifiedBy>
  <dcterms:created xsi:type="dcterms:W3CDTF">2026-03-01T10:07:45Z</dcterms:created>
  <dcterms:modified xsi:type="dcterms:W3CDTF">2026-03-01T17:15:14Z</dcterms:modified>
</cp:coreProperties>
</file>