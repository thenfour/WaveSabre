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B1D1DF0D-A76B-46E9-A19A-97983A1DDD8E}" xr6:coauthVersionLast="47" xr6:coauthVersionMax="47" xr10:uidLastSave="{00000000-0000-0000-0000-000000000000}"/>
  <bookViews>
    <workbookView xWindow="11010" yWindow="90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" i="1" l="1"/>
  <c r="A28" i="1"/>
  <c r="B27" i="1" s="1"/>
  <c r="B28" i="1"/>
  <c r="E28" i="1"/>
  <c r="F28" i="1"/>
  <c r="G28" i="1"/>
  <c r="H28" i="1"/>
  <c r="E27" i="1"/>
  <c r="F27" i="1"/>
  <c r="G27" i="1"/>
  <c r="H27" i="1"/>
  <c r="E26" i="1"/>
  <c r="F26" i="1"/>
  <c r="A26" i="1"/>
  <c r="B26" i="1" s="1"/>
  <c r="G26" i="1"/>
  <c r="H26" i="1"/>
  <c r="E25" i="1"/>
  <c r="F25" i="1"/>
  <c r="A25" i="1"/>
  <c r="B25" i="1" s="1"/>
  <c r="G25" i="1"/>
  <c r="H25" i="1"/>
  <c r="E24" i="1"/>
  <c r="F24" i="1"/>
  <c r="A24" i="1"/>
  <c r="G24" i="1"/>
  <c r="H24" i="1"/>
  <c r="E23" i="1"/>
  <c r="F23" i="1"/>
  <c r="G23" i="1"/>
  <c r="H23" i="1"/>
  <c r="A23" i="1"/>
  <c r="E22" i="1"/>
  <c r="F22" i="1"/>
  <c r="A22" i="1"/>
  <c r="B22" i="1" s="1"/>
  <c r="G22" i="1"/>
  <c r="H22" i="1"/>
  <c r="E21" i="1"/>
  <c r="F21" i="1"/>
  <c r="A21" i="1"/>
  <c r="G21" i="1"/>
  <c r="H21" i="1"/>
  <c r="E20" i="1"/>
  <c r="F20" i="1"/>
  <c r="A20" i="1"/>
  <c r="G20" i="1"/>
  <c r="H20" i="1"/>
  <c r="E19" i="1"/>
  <c r="F19" i="1"/>
  <c r="A19" i="1"/>
  <c r="G19" i="1"/>
  <c r="H19" i="1"/>
  <c r="E18" i="1"/>
  <c r="F18" i="1"/>
  <c r="A18" i="1"/>
  <c r="G18" i="1"/>
  <c r="H18" i="1"/>
  <c r="E17" i="1"/>
  <c r="F17" i="1"/>
  <c r="A17" i="1"/>
  <c r="G17" i="1"/>
  <c r="H17" i="1"/>
  <c r="E16" i="1"/>
  <c r="F16" i="1"/>
  <c r="A16" i="1"/>
  <c r="G16" i="1"/>
  <c r="H16" i="1"/>
  <c r="E15" i="1"/>
  <c r="F15" i="1"/>
  <c r="A15" i="1"/>
  <c r="G15" i="1"/>
  <c r="H15" i="1"/>
  <c r="E14" i="1"/>
  <c r="F14" i="1"/>
  <c r="A14" i="1"/>
  <c r="G14" i="1"/>
  <c r="H14" i="1"/>
  <c r="E13" i="1"/>
  <c r="F13" i="1"/>
  <c r="A13" i="1"/>
  <c r="G13" i="1"/>
  <c r="H13" i="1"/>
  <c r="E12" i="1"/>
  <c r="F12" i="1"/>
  <c r="A12" i="1"/>
  <c r="G12" i="1"/>
  <c r="H12" i="1"/>
  <c r="E11" i="1"/>
  <c r="F11" i="1"/>
  <c r="A11" i="1"/>
  <c r="G11" i="1"/>
  <c r="H11" i="1"/>
  <c r="E10" i="1"/>
  <c r="F10" i="1"/>
  <c r="A10" i="1"/>
  <c r="G10" i="1"/>
  <c r="H10" i="1"/>
  <c r="A5" i="1"/>
  <c r="A6" i="1"/>
  <c r="A7" i="1"/>
  <c r="A8" i="1"/>
  <c r="A9" i="1"/>
  <c r="A4" i="1"/>
  <c r="D21" i="2"/>
  <c r="E9" i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H4" i="1"/>
  <c r="B16" i="1" l="1"/>
  <c r="B21" i="1"/>
  <c r="B18" i="1"/>
  <c r="B24" i="1"/>
  <c r="B17" i="1"/>
  <c r="B19" i="1"/>
  <c r="B23" i="1"/>
  <c r="B20" i="1"/>
  <c r="B15" i="1"/>
  <c r="B14" i="1"/>
  <c r="B13" i="1"/>
  <c r="B11" i="1"/>
  <c r="B12" i="1"/>
  <c r="B4" i="1"/>
  <c r="B9" i="1"/>
  <c r="B8" i="1"/>
  <c r="B10" i="1"/>
  <c r="B6" i="1"/>
  <c r="B7" i="1"/>
  <c r="B5" i="1"/>
  <c r="B3" i="1"/>
</calcChain>
</file>

<file path=xl/sharedStrings.xml><?xml version="1.0" encoding="utf-8"?>
<sst xmlns="http://schemas.openxmlformats.org/spreadsheetml/2006/main" count="66" uniqueCount="66">
  <si>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</si>
  <si>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</si>
  <si>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</si>
  <si>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</si>
  <si>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</si>
  <si>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</si>
  <si>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</si>
  <si>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</si>
  <si>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</si>
  <si>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</si>
  <si>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</si>
  <si>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</si>
  <si>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</si>
  <si>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</si>
  <si>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</si>
  <si>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</si>
  <si>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</si>
  <si>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</si>
  <si>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</si>
  <si>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</si>
  <si>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</si>
  <si>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</si>
  <si>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</si>
  <si>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</si>
  <si>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</si>
  <si>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</si>
  <si>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</si>
  <si>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</si>
  <si>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</si>
  <si>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</si>
  <si>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</si>
  <si>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</si>
  <si>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</si>
  <si>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</si>
  <si>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</si>
  <si>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</si>
  <si>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</si>
  <si>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</si>
  <si>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</si>
  <si>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</si>
  <si>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</si>
  <si>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</si>
  <si>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</si>
  <si>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</si>
  <si>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</si>
  <si>
    <t>no rendered song data, no devices</t>
  </si>
  <si>
    <t>this is the player, wav writer, graph runner overhead</t>
  </si>
  <si>
    <t>maj7comp instead of mbc</t>
  </si>
  <si>
    <t>removing selectable filter models &amp; slopes, using vanilla onepole</t>
  </si>
  <si>
    <t>removing LP and Q from sidechain</t>
  </si>
  <si>
    <t>adding in sineclipper to comp</t>
  </si>
  <si>
    <t>remove output stream from comp</t>
  </si>
  <si>
    <t>duplicating EQ defaults instead of custom per band</t>
  </si>
  <si>
    <t>remove 2nd filter from gigasynth</t>
  </si>
  <si>
    <t>no CC, pitchbend, sustain pedal support</t>
  </si>
  <si>
    <t>more cleanups removing/unifying filters</t>
  </si>
  <si>
    <t>removing folded sine, evolving grain osc</t>
  </si>
  <si>
    <t>remove polyblep from S&amp;H noise</t>
  </si>
  <si>
    <t>remove whitenoise (use SH)</t>
  </si>
  <si>
    <t>remove shapes -- only naïve trap. Removing pulse3 while I'm at it.</t>
  </si>
  <si>
    <t>macro count -&gt; 4</t>
  </si>
  <si>
    <t>remove time basis from LFO</t>
  </si>
  <si>
    <t>remove mod aux</t>
  </si>
  <si>
    <t>remove mod curve support</t>
  </si>
  <si>
    <t>remove osc compensation gain</t>
  </si>
  <si>
    <t>remove sampler device entirely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</si>
</sst>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28"/>
  <sheetViews>
    <sheetView tabSelected="1" workbookViewId="0">
      <pane ySplit="1" topLeftCell="A2" activePane="bottomLeft" state="frozen"/>
      <selection pane="bottomLeft" sqref="A1:I28"/>
    </sheetView>
  </sheetViews>
  <sheetFormatPr defaultRowHeight="15" x14ac:dyDescent="0.25"/>
  <cols>
    <col min="2" max="2" width="44.7109375" style="2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2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2" t="str">
        <f>REPT("#",A4*100/MAX(A:A))</f>
        <v>###################################################################################################</v>
      </c>
      <c r="C4">
        <v>116224</v>
      </c>
      <c r="D4">
        <v>33360</v>
      </c>
      <c r="E4">
        <f t="shared" ref="E4:F6" si="0">C4-C3</f>
        <v>-1024</v>
      </c>
      <c r="F4">
        <f t="shared" si="0"/>
        <v>32</v>
      </c>
      <c r="G4">
        <f t="shared" ref="G4:G26" si="1">$D$3-D4</f>
        <v>-32</v>
      </c>
      <c r="H4">
        <f t="shared" ref="H4:H26" si="2">$Q$2-D4</f>
        <v>-9360</v>
      </c>
      <c r="I4" t="s">
        <v>4</v>
      </c>
    </row>
    <row r="5" spans="1:17" x14ac:dyDescent="0.25">
      <c r="A5">
        <f t="shared" ref="A5:A26" si="3">D5-$Q$2</f>
        <v>9396</v>
      </c>
      <c r="B5" s="2" t="str">
        <f t="shared" ref="B5:B26" si="4">REPT("#",A5*100/MAX(A:A))</f>
        <v>####################################################################################################</v>
      </c>
      <c r="C5">
        <v>116736</v>
      </c>
      <c r="D5">
        <v>33396</v>
      </c>
      <c r="E5">
        <f t="shared" si="0"/>
        <v>512</v>
      </c>
      <c r="F5">
        <f t="shared" si="0"/>
        <v>36</v>
      </c>
      <c r="G5">
        <f t="shared" si="1"/>
        <v>-68</v>
      </c>
      <c r="H5">
        <f t="shared" si="2"/>
        <v>-9396</v>
      </c>
      <c r="I5" t="s">
        <v>7</v>
      </c>
    </row>
    <row r="6" spans="1:17" x14ac:dyDescent="0.25">
      <c r="A6">
        <f t="shared" si="3"/>
        <v>9188</v>
      </c>
      <c r="B6" s="2" t="str">
        <f t="shared" si="4"/>
        <v>#################################################################################################</v>
      </c>
      <c r="C6">
        <v>115200</v>
      </c>
      <c r="D6">
        <v>33188</v>
      </c>
      <c r="E6">
        <f t="shared" si="0"/>
        <v>-1536</v>
      </c>
      <c r="F6">
        <f t="shared" si="0"/>
        <v>-208</v>
      </c>
      <c r="G6">
        <f t="shared" si="1"/>
        <v>140</v>
      </c>
      <c r="H6">
        <f t="shared" si="2"/>
        <v>-9188</v>
      </c>
      <c r="I6" t="s">
        <v>17</v>
      </c>
    </row>
    <row r="7" spans="1:17" x14ac:dyDescent="0.25">
      <c r="A7">
        <f t="shared" si="3"/>
        <v>9196</v>
      </c>
      <c r="B7" s="2" t="str">
        <f t="shared" si="4"/>
        <v>#################################################################################################</v>
      </c>
      <c r="C7">
        <v>115200</v>
      </c>
      <c r="D7">
        <v>33196</v>
      </c>
      <c r="E7">
        <f t="shared" ref="E7" si="5">C7-C6</f>
        <v>0</v>
      </c>
      <c r="F7">
        <f t="shared" ref="F7" si="6">D7-D6</f>
        <v>8</v>
      </c>
      <c r="G7">
        <f t="shared" si="1"/>
        <v>132</v>
      </c>
      <c r="H7">
        <f t="shared" si="2"/>
        <v>-9196</v>
      </c>
      <c r="I7" t="s">
        <v>42</v>
      </c>
    </row>
    <row r="8" spans="1:17" x14ac:dyDescent="0.25">
      <c r="A8">
        <f t="shared" si="3"/>
        <v>8696</v>
      </c>
      <c r="B8" s="2" t="str">
        <f t="shared" si="4"/>
        <v>############################################################################################</v>
      </c>
      <c r="C8">
        <v>114176</v>
      </c>
      <c r="D8">
        <v>32696</v>
      </c>
      <c r="E8">
        <f t="shared" ref="E8" si="7">C8-C7</f>
        <v>-1024</v>
      </c>
      <c r="F8">
        <f t="shared" ref="F8" si="8">D8-D7</f>
        <v>-500</v>
      </c>
      <c r="G8">
        <f t="shared" si="1"/>
        <v>632</v>
      </c>
      <c r="H8">
        <f t="shared" si="2"/>
        <v>-8696</v>
      </c>
      <c r="I8" t="s">
        <v>43</v>
      </c>
    </row>
    <row r="9" spans="1:17" x14ac:dyDescent="0.25">
      <c r="A9">
        <f t="shared" si="3"/>
        <v>8792</v>
      </c>
      <c r="B9" s="2" t="str">
        <f t="shared" si="4"/>
        <v>#############################################################################################</v>
      </c>
      <c r="C9">
        <v>114176</v>
      </c>
      <c r="D9">
        <v>32792</v>
      </c>
      <c r="E9">
        <f t="shared" ref="E9" si="9">C9-C8</f>
        <v>0</v>
      </c>
      <c r="F9">
        <f t="shared" ref="F9" si="10">D9-D8</f>
        <v>96</v>
      </c>
      <c r="G9">
        <f t="shared" si="1"/>
        <v>536</v>
      </c>
      <c r="H9">
        <f t="shared" si="2"/>
        <v>-8792</v>
      </c>
      <c r="I9" t="s">
        <v>44</v>
      </c>
    </row>
    <row r="10" spans="1:17" x14ac:dyDescent="0.25">
      <c r="A10">
        <f t="shared" si="3"/>
        <v>7744</v>
      </c>
      <c r="B10" s="2" t="str">
        <f t="shared" si="4"/>
        <v>##################################################################################</v>
      </c>
      <c r="C10">
        <v>111104</v>
      </c>
      <c r="D10">
        <v>31744</v>
      </c>
      <c r="E10">
        <f t="shared" ref="E10" si="11">C10-C9</f>
        <v>-3072</v>
      </c>
      <c r="F10">
        <f t="shared" ref="F10" si="12">D10-D9</f>
        <v>-1048</v>
      </c>
      <c r="G10">
        <f t="shared" si="1"/>
        <v>1584</v>
      </c>
      <c r="H10">
        <f t="shared" si="2"/>
        <v>-7744</v>
      </c>
      <c r="I10" t="s">
        <v>47</v>
      </c>
    </row>
    <row r="11" spans="1:17" x14ac:dyDescent="0.25">
      <c r="A11">
        <f t="shared" si="3"/>
        <v>7124</v>
      </c>
      <c r="B11" s="2" t="str">
        <f t="shared" si="4"/>
        <v>###########################################################################</v>
      </c>
      <c r="C11">
        <v>109568</v>
      </c>
      <c r="D11">
        <v>31124</v>
      </c>
      <c r="E11">
        <f t="shared" ref="E11" si="13">C11-C10</f>
        <v>-1536</v>
      </c>
      <c r="F11">
        <f t="shared" ref="F11" si="14">D11-D10</f>
        <v>-620</v>
      </c>
      <c r="G11">
        <f t="shared" si="1"/>
        <v>2204</v>
      </c>
      <c r="H11">
        <f t="shared" si="2"/>
        <v>-7124</v>
      </c>
      <c r="I11" t="s">
        <v>48</v>
      </c>
    </row>
    <row r="12" spans="1:17" x14ac:dyDescent="0.25">
      <c r="A12">
        <f t="shared" si="3"/>
        <v>7104</v>
      </c>
      <c r="B12" s="2" t="str">
        <f t="shared" si="4"/>
        <v>###########################################################################</v>
      </c>
      <c r="C12">
        <v>109568</v>
      </c>
      <c r="D12">
        <v>31104</v>
      </c>
      <c r="E12">
        <f t="shared" ref="E12" si="15">C12-C11</f>
        <v>0</v>
      </c>
      <c r="F12">
        <f t="shared" ref="F12" si="16">D12-D11</f>
        <v>-20</v>
      </c>
      <c r="G12">
        <f t="shared" si="1"/>
        <v>2224</v>
      </c>
      <c r="H12">
        <f t="shared" si="2"/>
        <v>-7104</v>
      </c>
      <c r="I12" t="s">
        <v>49</v>
      </c>
    </row>
    <row r="13" spans="1:17" x14ac:dyDescent="0.25">
      <c r="A13">
        <f t="shared" si="3"/>
        <v>7108</v>
      </c>
      <c r="B13" s="2" t="str">
        <f t="shared" si="4"/>
        <v>###########################################################################</v>
      </c>
      <c r="C13">
        <v>109568</v>
      </c>
      <c r="D13">
        <v>31108</v>
      </c>
      <c r="E13">
        <f t="shared" ref="E13" si="17">C13-C12</f>
        <v>0</v>
      </c>
      <c r="F13">
        <f t="shared" ref="F13" si="18">D13-D12</f>
        <v>4</v>
      </c>
      <c r="G13">
        <f t="shared" si="1"/>
        <v>2220</v>
      </c>
      <c r="H13">
        <f t="shared" si="2"/>
        <v>-7108</v>
      </c>
      <c r="I13" t="s">
        <v>50</v>
      </c>
    </row>
    <row r="14" spans="1:17" x14ac:dyDescent="0.25">
      <c r="A14">
        <f t="shared" si="3"/>
        <v>7092</v>
      </c>
      <c r="B14" s="2" t="str">
        <f t="shared" si="4"/>
        <v>###########################################################################</v>
      </c>
      <c r="C14">
        <v>109568</v>
      </c>
      <c r="D14">
        <v>31092</v>
      </c>
      <c r="E14">
        <f t="shared" ref="E14" si="19">C14-C13</f>
        <v>0</v>
      </c>
      <c r="F14">
        <f t="shared" ref="F14" si="20">D14-D13</f>
        <v>-16</v>
      </c>
      <c r="G14">
        <f t="shared" si="1"/>
        <v>2236</v>
      </c>
      <c r="H14">
        <f t="shared" si="2"/>
        <v>-7092</v>
      </c>
      <c r="I14" t="s">
        <v>51</v>
      </c>
    </row>
    <row r="15" spans="1:17" x14ac:dyDescent="0.25">
      <c r="A15">
        <f t="shared" si="3"/>
        <v>7076</v>
      </c>
      <c r="B15" s="2" t="str">
        <f t="shared" si="4"/>
        <v>###########################################################################</v>
      </c>
      <c r="C15">
        <v>109568</v>
      </c>
      <c r="D15">
        <v>31076</v>
      </c>
      <c r="E15">
        <f t="shared" ref="E15" si="21">C15-C14</f>
        <v>0</v>
      </c>
      <c r="F15">
        <f t="shared" ref="F15" si="22">D15-D14</f>
        <v>-16</v>
      </c>
      <c r="G15">
        <f t="shared" si="1"/>
        <v>2252</v>
      </c>
      <c r="H15">
        <f t="shared" si="2"/>
        <v>-7076</v>
      </c>
      <c r="I15" t="s">
        <v>52</v>
      </c>
    </row>
    <row r="16" spans="1:17" x14ac:dyDescent="0.25">
      <c r="A16">
        <f t="shared" si="3"/>
        <v>7016</v>
      </c>
      <c r="B16" s="2" t="str">
        <f t="shared" si="4"/>
        <v>##########################################################################</v>
      </c>
      <c r="C16">
        <v>108544</v>
      </c>
      <c r="D16">
        <v>31016</v>
      </c>
      <c r="E16">
        <f t="shared" ref="E16" si="23">C16-C15</f>
        <v>-1024</v>
      </c>
      <c r="F16">
        <f t="shared" ref="F16" si="24">D16-D15</f>
        <v>-60</v>
      </c>
      <c r="G16">
        <f t="shared" si="1"/>
        <v>2312</v>
      </c>
      <c r="H16">
        <f t="shared" si="2"/>
        <v>-7016</v>
      </c>
      <c r="I16" t="s">
        <v>53</v>
      </c>
    </row>
    <row r="17" spans="1:9" x14ac:dyDescent="0.25">
      <c r="A17">
        <f t="shared" si="3"/>
        <v>6868</v>
      </c>
      <c r="B17" s="2" t="str">
        <f t="shared" si="4"/>
        <v>#########################################################################</v>
      </c>
      <c r="C17">
        <v>108544</v>
      </c>
      <c r="D17">
        <v>30868</v>
      </c>
      <c r="E17">
        <f t="shared" ref="E17" si="25">C17-C16</f>
        <v>0</v>
      </c>
      <c r="F17">
        <f t="shared" ref="F17" si="26">D17-D16</f>
        <v>-148</v>
      </c>
      <c r="G17">
        <f t="shared" si="1"/>
        <v>2460</v>
      </c>
      <c r="H17">
        <f t="shared" si="2"/>
        <v>-6868</v>
      </c>
      <c r="I17" t="s">
        <v>54</v>
      </c>
    </row>
    <row r="18" spans="1:9" x14ac:dyDescent="0.25">
      <c r="A18">
        <f t="shared" si="3"/>
        <v>6756</v>
      </c>
      <c r="B18" s="2" t="str">
        <f t="shared" si="4"/>
        <v>#######################################################################</v>
      </c>
      <c r="C18">
        <v>108544</v>
      </c>
      <c r="D18">
        <v>30756</v>
      </c>
      <c r="E18">
        <f t="shared" ref="E18" si="27">C18-C17</f>
        <v>0</v>
      </c>
      <c r="F18">
        <f t="shared" ref="F18" si="28">D18-D17</f>
        <v>-112</v>
      </c>
      <c r="G18">
        <f t="shared" si="1"/>
        <v>2572</v>
      </c>
      <c r="H18">
        <f t="shared" si="2"/>
        <v>-6756</v>
      </c>
      <c r="I18" t="s">
        <v>55</v>
      </c>
    </row>
    <row r="19" spans="1:9" x14ac:dyDescent="0.25">
      <c r="A19">
        <f t="shared" si="3"/>
        <v>6404</v>
      </c>
      <c r="B19" s="2" t="str">
        <f t="shared" si="4"/>
        <v>####################################################################</v>
      </c>
      <c r="C19">
        <v>107008</v>
      </c>
      <c r="D19">
        <v>30404</v>
      </c>
      <c r="E19">
        <f t="shared" ref="E19" si="29">C19-C18</f>
        <v>-1536</v>
      </c>
      <c r="F19">
        <f t="shared" ref="F19" si="30">D19-D18</f>
        <v>-352</v>
      </c>
      <c r="G19">
        <f t="shared" si="1"/>
        <v>2924</v>
      </c>
      <c r="H19">
        <f t="shared" si="2"/>
        <v>-6404</v>
      </c>
      <c r="I19" t="s">
        <v>56</v>
      </c>
    </row>
    <row r="20" spans="1:9" x14ac:dyDescent="0.25">
      <c r="A20">
        <f t="shared" si="3"/>
        <v>6344</v>
      </c>
      <c r="B20" s="2" t="str">
        <f t="shared" si="4"/>
        <v>###################################################################</v>
      </c>
      <c r="C20">
        <v>107008</v>
      </c>
      <c r="D20">
        <v>30344</v>
      </c>
      <c r="E20">
        <f t="shared" ref="E20" si="31">C20-C19</f>
        <v>0</v>
      </c>
      <c r="F20">
        <f t="shared" ref="F20" si="32">D20-D19</f>
        <v>-60</v>
      </c>
      <c r="G20">
        <f t="shared" si="1"/>
        <v>2984</v>
      </c>
      <c r="H20">
        <f t="shared" si="2"/>
        <v>-6344</v>
      </c>
      <c r="I20" t="s">
        <v>57</v>
      </c>
    </row>
    <row r="21" spans="1:9" x14ac:dyDescent="0.25">
      <c r="A21">
        <f t="shared" si="3"/>
        <v>6268</v>
      </c>
      <c r="B21" s="2" t="str">
        <f t="shared" si="4"/>
        <v>##################################################################</v>
      </c>
      <c r="C21">
        <v>106496</v>
      </c>
      <c r="D21">
        <v>30268</v>
      </c>
      <c r="E21">
        <f t="shared" ref="E21" si="33">C21-C20</f>
        <v>-512</v>
      </c>
      <c r="F21">
        <f t="shared" ref="F21" si="34">D21-D20</f>
        <v>-76</v>
      </c>
      <c r="G21">
        <f t="shared" si="1"/>
        <v>3060</v>
      </c>
      <c r="H21">
        <f t="shared" si="2"/>
        <v>-6268</v>
      </c>
      <c r="I21" t="s">
        <v>58</v>
      </c>
    </row>
    <row r="22" spans="1:9" x14ac:dyDescent="0.25">
      <c r="A22">
        <f t="shared" si="3"/>
        <v>5612</v>
      </c>
      <c r="B22" s="2" t="str">
        <f t="shared" si="4"/>
        <v>###########################################################</v>
      </c>
      <c r="C22">
        <v>104960</v>
      </c>
      <c r="D22">
        <v>29612</v>
      </c>
      <c r="E22">
        <f t="shared" ref="E22" si="35">C22-C21</f>
        <v>-1536</v>
      </c>
      <c r="F22">
        <f t="shared" ref="F22" si="36">D22-D21</f>
        <v>-656</v>
      </c>
      <c r="G22">
        <f t="shared" si="1"/>
        <v>3716</v>
      </c>
      <c r="H22">
        <f t="shared" si="2"/>
        <v>-5612</v>
      </c>
      <c r="I22" t="s">
        <v>59</v>
      </c>
    </row>
    <row r="23" spans="1:9" x14ac:dyDescent="0.25">
      <c r="A23">
        <f t="shared" si="3"/>
        <v>5608</v>
      </c>
      <c r="B23" s="2" t="str">
        <f t="shared" si="4"/>
        <v>###########################################################</v>
      </c>
      <c r="C23">
        <v>104960</v>
      </c>
      <c r="D23">
        <v>29608</v>
      </c>
      <c r="E23">
        <f t="shared" ref="E23" si="37">C23-C22</f>
        <v>0</v>
      </c>
      <c r="F23">
        <f t="shared" ref="F23" si="38">D23-D22</f>
        <v>-4</v>
      </c>
      <c r="G23">
        <f t="shared" si="1"/>
        <v>3720</v>
      </c>
      <c r="H23">
        <f t="shared" si="2"/>
        <v>-5608</v>
      </c>
      <c r="I23" t="s">
        <v>60</v>
      </c>
    </row>
    <row r="24" spans="1:9" x14ac:dyDescent="0.25">
      <c r="A24">
        <f t="shared" si="3"/>
        <v>5496</v>
      </c>
      <c r="B24" s="2" t="str">
        <f t="shared" si="4"/>
        <v>##########################################################</v>
      </c>
      <c r="C24">
        <v>104960</v>
      </c>
      <c r="D24">
        <v>29496</v>
      </c>
      <c r="E24">
        <f t="shared" ref="E24" si="39">C24-C23</f>
        <v>0</v>
      </c>
      <c r="F24">
        <f t="shared" ref="F24" si="40">D24-D23</f>
        <v>-112</v>
      </c>
      <c r="G24">
        <f t="shared" si="1"/>
        <v>3832</v>
      </c>
      <c r="H24">
        <f t="shared" si="2"/>
        <v>-5496</v>
      </c>
      <c r="I24" t="s">
        <v>61</v>
      </c>
    </row>
    <row r="25" spans="1:9" x14ac:dyDescent="0.25">
      <c r="A25">
        <f t="shared" si="3"/>
        <v>5420</v>
      </c>
      <c r="B25" s="2" t="str">
        <f t="shared" si="4"/>
        <v>#########################################################</v>
      </c>
      <c r="C25">
        <v>104448</v>
      </c>
      <c r="D25">
        <v>29420</v>
      </c>
      <c r="E25">
        <f t="shared" ref="E25" si="41">C25-C24</f>
        <v>-512</v>
      </c>
      <c r="F25">
        <f t="shared" ref="F25" si="42">D25-D24</f>
        <v>-76</v>
      </c>
      <c r="G25">
        <f t="shared" si="1"/>
        <v>3908</v>
      </c>
      <c r="H25">
        <f t="shared" si="2"/>
        <v>-5420</v>
      </c>
      <c r="I25" t="s">
        <v>62</v>
      </c>
    </row>
    <row r="26" spans="1:9" x14ac:dyDescent="0.25">
      <c r="A26">
        <f t="shared" si="3"/>
        <v>5404</v>
      </c>
      <c r="B26" s="2" t="str">
        <f t="shared" si="4"/>
        <v>#########################################################</v>
      </c>
      <c r="C26">
        <v>104448</v>
      </c>
      <c r="D26">
        <v>29404</v>
      </c>
      <c r="E26">
        <f t="shared" ref="E26" si="43">C26-C25</f>
        <v>0</v>
      </c>
      <c r="F26">
        <f t="shared" ref="F26" si="44">D26-D25</f>
        <v>-16</v>
      </c>
      <c r="G26">
        <f t="shared" si="1"/>
        <v>3924</v>
      </c>
      <c r="H26">
        <f t="shared" si="2"/>
        <v>-5404</v>
      </c>
      <c r="I26" t="s">
        <v>63</v>
      </c>
    </row>
    <row r="27" spans="1:9" x14ac:dyDescent="0.25">
      <c r="A27">
        <f t="shared" ref="A27:A28" si="45">D27-$Q$2</f>
        <v>5392</v>
      </c>
      <c r="B27" s="2" t="str">
        <f t="shared" ref="B27:B28" si="46">REPT("#",A27*100/MAX(A:A))</f>
        <v>#########################################################</v>
      </c>
      <c r="C27">
        <v>104448</v>
      </c>
      <c r="D27">
        <v>29392</v>
      </c>
      <c r="E27">
        <f t="shared" ref="E27" si="47">C27-C26</f>
        <v>0</v>
      </c>
      <c r="F27">
        <f t="shared" ref="F27" si="48">D27-D26</f>
        <v>-12</v>
      </c>
      <c r="G27">
        <f t="shared" ref="G27:G28" si="49">$D$3-D27</f>
        <v>3936</v>
      </c>
      <c r="H27">
        <f t="shared" ref="H27:H28" si="50">$Q$2-D27</f>
        <v>-5392</v>
      </c>
      <c r="I27" t="s">
        <v>64</v>
      </c>
    </row>
    <row r="28" spans="1:9" x14ac:dyDescent="0.25">
      <c r="A28">
        <f t="shared" si="45"/>
        <v>4276</v>
      </c>
      <c r="B28" s="2" t="str">
        <f t="shared" si="46"/>
        <v>#############################################</v>
      </c>
      <c r="C28">
        <v>102400</v>
      </c>
      <c r="D28">
        <v>28276</v>
      </c>
      <c r="E28">
        <f t="shared" ref="E28" si="51">C28-C27</f>
        <v>-2048</v>
      </c>
      <c r="F28">
        <f t="shared" ref="F28" si="52">D28-D27</f>
        <v>-1116</v>
      </c>
      <c r="G28">
        <f t="shared" si="49"/>
        <v>5052</v>
      </c>
      <c r="H28">
        <f t="shared" si="50"/>
        <v>-4276</v>
      </c>
      <c r="I28" t="s">
        <v>65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9"/>
  <sheetViews>
    <sheetView workbookViewId="0">
      <selection activeCell="C21" sqref="C21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1" t="s">
        <v>20</v>
      </c>
      <c r="C11">
        <v>20936</v>
      </c>
      <c r="D11">
        <f>C11-$C$10</f>
        <v>2488</v>
      </c>
    </row>
    <row r="12" spans="1:6" x14ac:dyDescent="0.25">
      <c r="A12" s="1" t="s">
        <v>21</v>
      </c>
      <c r="C12">
        <v>21228</v>
      </c>
      <c r="D12">
        <f t="shared" ref="D12:D21" si="2">C12-$C$10</f>
        <v>2780</v>
      </c>
    </row>
    <row r="13" spans="1:6" x14ac:dyDescent="0.25">
      <c r="A13" s="1" t="s">
        <v>22</v>
      </c>
      <c r="C13">
        <v>21924</v>
      </c>
      <c r="D13">
        <f t="shared" si="2"/>
        <v>3476</v>
      </c>
    </row>
    <row r="14" spans="1:6" x14ac:dyDescent="0.25">
      <c r="A14" s="1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1" t="s">
        <v>23</v>
      </c>
      <c r="C15">
        <v>30048</v>
      </c>
      <c r="D15">
        <f t="shared" si="2"/>
        <v>11600</v>
      </c>
    </row>
    <row r="16" spans="1:6" x14ac:dyDescent="0.25">
      <c r="A16" s="1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1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1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1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1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1" spans="1:6" x14ac:dyDescent="0.25">
      <c r="A21" t="s">
        <v>45</v>
      </c>
      <c r="C21">
        <v>6244</v>
      </c>
      <c r="D21">
        <f t="shared" si="2"/>
        <v>-12204</v>
      </c>
      <c r="F21" t="s">
        <v>46</v>
      </c>
    </row>
    <row r="25" spans="1:6" x14ac:dyDescent="0.25">
      <c r="A25" t="s">
        <v>37</v>
      </c>
    </row>
    <row r="26" spans="1:6" x14ac:dyDescent="0.25">
      <c r="A26" t="s">
        <v>38</v>
      </c>
    </row>
    <row r="27" spans="1:6" x14ac:dyDescent="0.25">
      <c r="A27" t="s">
        <v>39</v>
      </c>
    </row>
    <row r="28" spans="1:6" x14ac:dyDescent="0.25">
      <c r="A28" t="s">
        <v>40</v>
      </c>
    </row>
    <row r="29" spans="1:6" x14ac:dyDescent="0.25">
      <c r="A29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2026-04-13T17:48:40Z</dcterms:modified>
</cp:coreProperties>
</file>