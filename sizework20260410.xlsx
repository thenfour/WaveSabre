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706EE84C-66AB-4422-A26D-B8FB4C52FBF8}" xr6:coauthVersionLast="47" xr6:coauthVersionMax="47" xr10:uidLastSave="{00000000-0000-0000-0000-000000000000}"/>
  <bookViews>
    <workbookView xWindow="11070" yWindow="1260" windowWidth="25005" windowHeight="16545" xr2:uid="{57C643F4-F52E-40AC-8074-51E8A42F966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1" l="1"/>
  <c r="F6" i="1"/>
  <c r="G6" i="1"/>
  <c r="H6" i="1"/>
  <c r="E4" i="2"/>
  <c r="E5" i="2"/>
  <c r="E3" i="2"/>
  <c r="D4" i="2"/>
  <c r="D5" i="2"/>
  <c r="D3" i="2"/>
  <c r="F5" i="1"/>
  <c r="G5" i="1"/>
  <c r="H5" i="1"/>
  <c r="E5" i="1"/>
  <c r="E4" i="1"/>
  <c r="G4" i="1"/>
  <c r="F4" i="1"/>
  <c r="A3" i="1"/>
  <c r="A4" i="1"/>
  <c r="H4" i="1"/>
  <c r="B4" i="1" l="1"/>
  <c r="B3" i="1"/>
</calcChain>
</file>

<file path=xl/sharedStrings.xml><?xml version="1.0" encoding="utf-8"?>
<sst xmlns="http://schemas.openxmlformats.org/spreadsheetml/2006/main" count="18" uniqueCount="18">
  <si>
    <t>target</t>
  </si>
  <si>
    <t>save total</t>
  </si>
  <si>
    <t>balance</t>
  </si>
  <si>
    <t>baseline: x86, minsizerel (no pdb), Maj7consoleplayer, rev2026 entry payload 20-fewernotes</t>
  </si>
  <si>
    <t>first attempt at putting Song in wavesabrecore, hard coding many things</t>
  </si>
  <si>
    <t>pre-squish</t>
  </si>
  <si>
    <t>delta</t>
  </si>
  <si>
    <t>adding oneshot support</t>
  </si>
  <si>
    <t>presquishdelta</t>
  </si>
  <si>
    <t>unpadded squished</t>
  </si>
  <si>
    <t>track flags vs serialization</t>
  </si>
  <si>
    <t>base</t>
  </si>
  <si>
    <t>oneshots on percussion tracks</t>
  </si>
  <si>
    <t>fixed velocity on riser + snare tracks</t>
  </si>
  <si>
    <t>uncompressed song data</t>
  </si>
  <si>
    <t>compressed</t>
  </si>
  <si>
    <t>both</t>
  </si>
  <si>
    <t>with oneshot song payload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</si>
</sst>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Q6"/>
  <sheetViews>
    <sheetView tabSelected="1" workbookViewId="0">
      <pane ySplit="1" topLeftCell="A2" activePane="bottomLeft" state="frozen"/>
      <selection pane="bottomLeft" activeCell="G6" sqref="G6"/>
    </sheetView>
  </sheetViews>
  <sheetFormatPr defaultRowHeight="15" x14ac:dyDescent="0.25"/>
  <cols>
    <col min="2" max="2" width="74.5703125" style="1" bestFit="1" customWidth="1"/>
    <col min="3" max="3" width="10.42578125" bestFit="1" customWidth="1"/>
    <col min="4" max="4" width="18.7109375" bestFit="1" customWidth="1"/>
    <col min="5" max="5" width="14.42578125" bestFit="1" customWidth="1"/>
    <col min="6" max="6" width="5.5703125" bestFit="1" customWidth="1"/>
    <col min="7" max="7" width="9.5703125" bestFit="1" customWidth="1"/>
    <col min="8" max="8" width="7.85546875" bestFit="1" customWidth="1"/>
  </cols>
  <sheetData>
    <row r="1" spans="1:17" x14ac:dyDescent="0.25">
      <c r="C1" t="s">
        <v>5</v>
      </c>
      <c r="D1" t="s">
        <v>9</v>
      </c>
      <c r="E1" t="s">
        <v>8</v>
      </c>
      <c r="F1" t="s">
        <v>6</v>
      </c>
      <c r="G1" t="s">
        <v>1</v>
      </c>
      <c r="H1" t="s">
        <v>2</v>
      </c>
    </row>
    <row r="2" spans="1:17" x14ac:dyDescent="0.25">
      <c r="P2" t="s">
        <v>0</v>
      </c>
      <c r="Q2">
        <v>24000</v>
      </c>
    </row>
    <row r="3" spans="1:17" x14ac:dyDescent="0.25">
      <c r="A3">
        <f>D3-$Q$2</f>
        <v>9328</v>
      </c>
      <c r="B3" s="1" t="str">
        <f>REPT("#",A3*100/MAX(A:A))</f>
        <v>###################################################################################################</v>
      </c>
      <c r="C3">
        <v>117248</v>
      </c>
      <c r="D3">
        <v>33328</v>
      </c>
      <c r="I3" t="s">
        <v>3</v>
      </c>
    </row>
    <row r="4" spans="1:17" x14ac:dyDescent="0.25">
      <c r="A4">
        <f>D4-$Q$2</f>
        <v>9360</v>
      </c>
      <c r="B4" s="1" t="str">
        <f t="shared" ref="B4" si="0">REPT("#",A4*100/MAX(A:A))</f>
        <v>####################################################################################################</v>
      </c>
      <c r="C4">
        <v>116224</v>
      </c>
      <c r="D4">
        <v>33360</v>
      </c>
      <c r="E4">
        <f>C4-C3</f>
        <v>-1024</v>
      </c>
      <c r="F4">
        <f>D4-D3</f>
        <v>32</v>
      </c>
      <c r="G4">
        <f>$D$3-D4</f>
        <v>-32</v>
      </c>
      <c r="H4">
        <f>$Q$2-D4</f>
        <v>-9360</v>
      </c>
      <c r="I4" t="s">
        <v>4</v>
      </c>
    </row>
    <row r="5" spans="1:17" x14ac:dyDescent="0.25">
      <c r="C5">
        <v>116736</v>
      </c>
      <c r="D5">
        <v>33396</v>
      </c>
      <c r="E5">
        <f>C5-C4</f>
        <v>512</v>
      </c>
      <c r="F5">
        <f>D5-D4</f>
        <v>36</v>
      </c>
      <c r="G5">
        <f>$D$3-D5</f>
        <v>-68</v>
      </c>
      <c r="H5">
        <f>$Q$2-D5</f>
        <v>-9396</v>
      </c>
      <c r="I5" t="s">
        <v>7</v>
      </c>
    </row>
    <row r="6" spans="1:17" x14ac:dyDescent="0.25">
      <c r="C6">
        <v>115200</v>
      </c>
      <c r="D6">
        <v>33188</v>
      </c>
      <c r="E6">
        <f>C6-C5</f>
        <v>-1536</v>
      </c>
      <c r="F6">
        <f>D6-D5</f>
        <v>-208</v>
      </c>
      <c r="G6">
        <f>$D$3-D6</f>
        <v>140</v>
      </c>
      <c r="H6">
        <f>$Q$2-D6</f>
        <v>-9188</v>
      </c>
      <c r="I6" t="s">
        <v>17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FA46-C395-40D3-849E-85E8997FBDEF}">
  <dimension ref="A1:E5"/>
  <sheetViews>
    <sheetView workbookViewId="0">
      <selection activeCell="E5" sqref="B5:E5"/>
    </sheetView>
  </sheetViews>
  <sheetFormatPr defaultRowHeight="15" x14ac:dyDescent="0.25"/>
  <cols>
    <col min="1" max="1" width="33.140625" bestFit="1" customWidth="1"/>
    <col min="2" max="2" width="23.28515625" bestFit="1" customWidth="1"/>
    <col min="3" max="3" width="11.7109375" bestFit="1" customWidth="1"/>
  </cols>
  <sheetData>
    <row r="1" spans="1:5" x14ac:dyDescent="0.25">
      <c r="A1" t="s">
        <v>10</v>
      </c>
      <c r="B1" t="s">
        <v>14</v>
      </c>
      <c r="C1" t="s">
        <v>15</v>
      </c>
    </row>
    <row r="2" spans="1:5" x14ac:dyDescent="0.25">
      <c r="A2" t="s">
        <v>11</v>
      </c>
      <c r="B2">
        <v>69705</v>
      </c>
      <c r="C2">
        <v>12623</v>
      </c>
    </row>
    <row r="3" spans="1:5" x14ac:dyDescent="0.25">
      <c r="A3" t="s">
        <v>12</v>
      </c>
      <c r="B3">
        <v>68052</v>
      </c>
      <c r="C3">
        <v>12400</v>
      </c>
      <c r="D3">
        <f>B3-$B$2</f>
        <v>-1653</v>
      </c>
      <c r="E3">
        <f>C3-$C$2</f>
        <v>-223</v>
      </c>
    </row>
    <row r="4" spans="1:5" x14ac:dyDescent="0.25">
      <c r="A4" t="s">
        <v>13</v>
      </c>
      <c r="B4">
        <v>69540</v>
      </c>
      <c r="C4">
        <v>12600</v>
      </c>
      <c r="D4">
        <f t="shared" ref="D4:D5" si="0">B4-$B$2</f>
        <v>-165</v>
      </c>
      <c r="E4">
        <f t="shared" ref="E4:E5" si="1">C4-$C$2</f>
        <v>-23</v>
      </c>
    </row>
    <row r="5" spans="1:5" x14ac:dyDescent="0.25">
      <c r="A5" t="s">
        <v>16</v>
      </c>
      <c r="B5">
        <v>67887</v>
      </c>
      <c r="C5">
        <v>12385</v>
      </c>
      <c r="D5">
        <f t="shared" si="0"/>
        <v>-1818</v>
      </c>
      <c r="E5">
        <f t="shared" si="1"/>
        <v>-238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2026-04-11T10:22:59Z</dcterms:modified>
</cp:coreProperties>
</file>