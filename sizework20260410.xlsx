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09426723-D54B-44D3-BC11-44120C852432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" i="1" l="1"/>
  <c r="B35" i="1"/>
  <c r="E35" i="1"/>
  <c r="F35" i="1"/>
  <c r="G35" i="1"/>
  <c r="H35" i="1"/>
  <c r="A33" i="1"/>
  <c r="B33" i="1" s="1"/>
  <c r="A34" i="1"/>
  <c r="B34" i="1" s="1"/>
  <c r="E34" i="1"/>
  <c r="F34" i="1"/>
  <c r="G34" i="1"/>
  <c r="H34" i="1"/>
  <c r="E33" i="1"/>
  <c r="F33" i="1"/>
  <c r="G33" i="1"/>
  <c r="H33" i="1"/>
  <c r="E32" i="1"/>
  <c r="F32" i="1"/>
  <c r="A32" i="1"/>
  <c r="B32" i="1" s="1"/>
  <c r="G32" i="1"/>
  <c r="H32" i="1"/>
  <c r="E31" i="1"/>
  <c r="F31" i="1"/>
  <c r="A31" i="1"/>
  <c r="G31" i="1"/>
  <c r="H31" i="1"/>
  <c r="E30" i="1"/>
  <c r="F30" i="1"/>
  <c r="A30" i="1"/>
  <c r="G30" i="1"/>
  <c r="H30" i="1"/>
  <c r="E29" i="1"/>
  <c r="F29" i="1"/>
  <c r="A29" i="1"/>
  <c r="G29" i="1"/>
  <c r="H29" i="1"/>
  <c r="A27" i="1"/>
  <c r="A28" i="1"/>
  <c r="E28" i="1"/>
  <c r="F28" i="1"/>
  <c r="G28" i="1"/>
  <c r="H28" i="1"/>
  <c r="E27" i="1"/>
  <c r="F27" i="1"/>
  <c r="G27" i="1"/>
  <c r="H27" i="1"/>
  <c r="E26" i="1"/>
  <c r="F26" i="1"/>
  <c r="A26" i="1"/>
  <c r="G26" i="1"/>
  <c r="H26" i="1"/>
  <c r="E25" i="1"/>
  <c r="F25" i="1"/>
  <c r="A25" i="1"/>
  <c r="G25" i="1"/>
  <c r="H25" i="1"/>
  <c r="E24" i="1"/>
  <c r="F24" i="1"/>
  <c r="A24" i="1"/>
  <c r="G24" i="1"/>
  <c r="H24" i="1"/>
  <c r="E23" i="1"/>
  <c r="F23" i="1"/>
  <c r="G23" i="1"/>
  <c r="H23" i="1"/>
  <c r="A23" i="1"/>
  <c r="E22" i="1"/>
  <c r="F22" i="1"/>
  <c r="A22" i="1"/>
  <c r="G22" i="1"/>
  <c r="H22" i="1"/>
  <c r="E21" i="1"/>
  <c r="F21" i="1"/>
  <c r="A21" i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G18" i="1"/>
  <c r="H18" i="1"/>
  <c r="E17" i="1"/>
  <c r="F17" i="1"/>
  <c r="A17" i="1"/>
  <c r="G17" i="1"/>
  <c r="H17" i="1"/>
  <c r="E16" i="1"/>
  <c r="F16" i="1"/>
  <c r="A16" i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30" i="1" l="1"/>
  <c r="B25" i="1"/>
  <c r="B31" i="1"/>
  <c r="B22" i="1"/>
  <c r="B28" i="1"/>
  <c r="B29" i="1"/>
  <c r="B26" i="1"/>
  <c r="B27" i="1"/>
  <c r="B16" i="1"/>
  <c r="B21" i="1"/>
  <c r="B18" i="1"/>
  <c r="B24" i="1"/>
  <c r="B17" i="1"/>
  <c r="B19" i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<sst xmlns="http://schemas.openxmlformats.org/spreadsheetml/2006/main" count="73" uniqueCount="73">
  <si>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</si>
  <si>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</si>
  <si>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</si>
  <si>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</si>
  <si>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</si>
  <si>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</si>
  <si>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</si>
  <si>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</si>
  <si>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</si>
  <si>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</si>
  <si>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</si>
  <si>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</si>
  <si>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</si>
  <si>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</si>
  <si>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</si>
  <si>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</si>
  <si>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</si>
  <si>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</si>
  <si>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</si>
  <si>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</si>
  <si>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</si>
  <si>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</si>
  <si>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</si>
  <si>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</si>
  <si>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</si>
  <si>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</si>
  <si>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</si>
  <si>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</si>
  <si>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</si>
  <si>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</si>
  <si>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</si>
  <si>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</si>
  <si>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</si>
  <si>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</si>
  <si>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</si>
  <si>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</si>
  <si>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</si>
  <si>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</si>
  <si>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</si>
  <si>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</si>
  <si>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</si>
  <si>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</si>
  <si>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</si>
  <si>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</si>
  <si>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</si>
  <si>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</si>
  <si>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</si>
  <si>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</si>
  <si>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</si>
  <si>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</si>
  <si>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</si>
  <si>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</si>
  <si>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</si>
  <si>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</si>
  <si>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</si>
  <si>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</si>
  <si>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</si>
  <si>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</si>
  <si>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</si>
  <si>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</si>
  <si>
    <t>macro count -&gt; 4</t>
  </si>
  <si>
    <t>remove time basis from LFO</t>
  </si>
  <si>
    <t>remove mod aux</t>
  </si>
  <si>
    <t>remove mod curve support</t>
  </si>
  <si>
    <t>remove osc compensation gain</t>
  </si>
  <si>
    <t>remove sampler device entirely</t>
  </si>
  <si>
    <t>re-introduce mod aux, but without curve</t>
  </si>
  <si>
    <t>remove shelving filters</t>
  </si>
  <si>
    <t>re-enabling samplers</t>
  </si>
  <si>
    <t>optimizing gmdls parsing</t>
  </si>
  <si>
    <t>no reverse or ping pong loop; loop enable is boolean</t>
  </si>
  <si>
    <t>remove loop boundary mode, more tweaks</t>
  </si>
  <si>
    <t>gmdls optimizations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</si>
</sst>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35"/>
  <sheetViews>
    <sheetView tabSelected="1" workbookViewId="0">
      <pane ySplit="1" topLeftCell="A2" activePane="bottomLeft" state="frozen"/>
      <selection pane="bottomLeft" activeCell="E30" sqref="E30"/>
    </sheetView>
  </sheetViews>
  <sheetFormatPr defaultRowHeight="15" x14ac:dyDescent="0.25"/>
  <cols>
    <col min="2" max="2" width="44.7109375" style="2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2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2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6" si="1">$D$3-D4</f>
        <v>-32</v>
      </c>
      <c r="H4">
        <f t="shared" ref="H4:H26" si="2">$Q$2-D4</f>
        <v>-9360</v>
      </c>
      <c r="I4" t="s">
        <v>4</v>
      </c>
    </row>
    <row r="5" spans="1:17" x14ac:dyDescent="0.25">
      <c r="A5">
        <f t="shared" ref="A5:A26" si="3">D5-$Q$2</f>
        <v>9396</v>
      </c>
      <c r="B5" s="2" t="str">
        <f t="shared" ref="B5:B26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2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2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2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2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2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2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2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2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2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2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2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2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2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2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2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2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2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5608</v>
      </c>
      <c r="B23" s="2" t="str">
        <f t="shared" si="4"/>
        <v>###########################################################</v>
      </c>
      <c r="C23">
        <v>104960</v>
      </c>
      <c r="D23">
        <v>29608</v>
      </c>
      <c r="E23">
        <f t="shared" ref="E23" si="37">C23-C22</f>
        <v>0</v>
      </c>
      <c r="F23">
        <f t="shared" ref="F23" si="38">D23-D22</f>
        <v>-4</v>
      </c>
      <c r="G23">
        <f t="shared" si="1"/>
        <v>3720</v>
      </c>
      <c r="H23">
        <f t="shared" si="2"/>
        <v>-5608</v>
      </c>
      <c r="I23" t="s">
        <v>60</v>
      </c>
    </row>
    <row r="24" spans="1:9" x14ac:dyDescent="0.25">
      <c r="A24">
        <f t="shared" si="3"/>
        <v>5496</v>
      </c>
      <c r="B24" s="2" t="str">
        <f t="shared" si="4"/>
        <v>##########################################################</v>
      </c>
      <c r="C24">
        <v>104960</v>
      </c>
      <c r="D24">
        <v>29496</v>
      </c>
      <c r="E24">
        <f t="shared" ref="E24" si="39">C24-C23</f>
        <v>0</v>
      </c>
      <c r="F24">
        <f t="shared" ref="F24" si="40">D24-D23</f>
        <v>-112</v>
      </c>
      <c r="G24">
        <f t="shared" si="1"/>
        <v>3832</v>
      </c>
      <c r="H24">
        <f t="shared" si="2"/>
        <v>-5496</v>
      </c>
      <c r="I24" t="s">
        <v>61</v>
      </c>
    </row>
    <row r="25" spans="1:9" x14ac:dyDescent="0.25">
      <c r="A25">
        <f t="shared" si="3"/>
        <v>5420</v>
      </c>
      <c r="B25" s="2" t="str">
        <f t="shared" si="4"/>
        <v>#########################################################</v>
      </c>
      <c r="C25">
        <v>104448</v>
      </c>
      <c r="D25">
        <v>29420</v>
      </c>
      <c r="E25">
        <f t="shared" ref="E25" si="41">C25-C24</f>
        <v>-512</v>
      </c>
      <c r="F25">
        <f t="shared" ref="F25" si="42">D25-D24</f>
        <v>-76</v>
      </c>
      <c r="G25">
        <f t="shared" si="1"/>
        <v>3908</v>
      </c>
      <c r="H25">
        <f t="shared" si="2"/>
        <v>-5420</v>
      </c>
      <c r="I25" t="s">
        <v>62</v>
      </c>
    </row>
    <row r="26" spans="1:9" x14ac:dyDescent="0.25">
      <c r="A26">
        <f t="shared" si="3"/>
        <v>5404</v>
      </c>
      <c r="B26" s="2" t="str">
        <f t="shared" si="4"/>
        <v>#########################################################</v>
      </c>
      <c r="C26">
        <v>104448</v>
      </c>
      <c r="D26">
        <v>29404</v>
      </c>
      <c r="E26">
        <f t="shared" ref="E26" si="43">C26-C25</f>
        <v>0</v>
      </c>
      <c r="F26">
        <f t="shared" ref="F26" si="44">D26-D25</f>
        <v>-16</v>
      </c>
      <c r="G26">
        <f t="shared" si="1"/>
        <v>3924</v>
      </c>
      <c r="H26">
        <f t="shared" si="2"/>
        <v>-5404</v>
      </c>
      <c r="I26" t="s">
        <v>63</v>
      </c>
    </row>
    <row r="27" spans="1:9" x14ac:dyDescent="0.25">
      <c r="A27">
        <f t="shared" ref="A27:A32" si="45">D27-$Q$2</f>
        <v>5392</v>
      </c>
      <c r="B27" s="2" t="str">
        <f t="shared" ref="B27:B32" si="46">REPT("#",A27*100/MAX(A:A))</f>
        <v>#########################################################</v>
      </c>
      <c r="C27">
        <v>104448</v>
      </c>
      <c r="D27">
        <v>29392</v>
      </c>
      <c r="E27">
        <f t="shared" ref="E27" si="47">C27-C26</f>
        <v>0</v>
      </c>
      <c r="F27">
        <f t="shared" ref="F27" si="48">D27-D26</f>
        <v>-12</v>
      </c>
      <c r="G27">
        <f t="shared" ref="G27:G32" si="49">$D$3-D27</f>
        <v>3936</v>
      </c>
      <c r="H27">
        <f t="shared" ref="H27:H32" si="50">$Q$2-D27</f>
        <v>-5392</v>
      </c>
      <c r="I27" t="s">
        <v>64</v>
      </c>
    </row>
    <row r="28" spans="1:9" x14ac:dyDescent="0.25">
      <c r="A28">
        <f t="shared" si="45"/>
        <v>4276</v>
      </c>
      <c r="B28" s="2" t="str">
        <f t="shared" si="46"/>
        <v>#############################################</v>
      </c>
      <c r="C28">
        <v>102400</v>
      </c>
      <c r="D28">
        <v>28276</v>
      </c>
      <c r="E28">
        <f t="shared" ref="E28" si="51">C28-C27</f>
        <v>-2048</v>
      </c>
      <c r="F28">
        <f t="shared" ref="F28" si="52">D28-D27</f>
        <v>-1116</v>
      </c>
      <c r="G28">
        <f t="shared" si="49"/>
        <v>5052</v>
      </c>
      <c r="H28">
        <f t="shared" si="50"/>
        <v>-4276</v>
      </c>
      <c r="I28" t="s">
        <v>65</v>
      </c>
    </row>
    <row r="29" spans="1:9" x14ac:dyDescent="0.25">
      <c r="A29">
        <f t="shared" si="45"/>
        <v>4356</v>
      </c>
      <c r="B29" s="2" t="str">
        <f t="shared" si="46"/>
        <v>##############################################</v>
      </c>
      <c r="C29">
        <v>102400</v>
      </c>
      <c r="D29">
        <v>28356</v>
      </c>
      <c r="E29">
        <f t="shared" ref="E29" si="53">C29-C28</f>
        <v>0</v>
      </c>
      <c r="F29">
        <f t="shared" ref="F29" si="54">D29-D28</f>
        <v>80</v>
      </c>
      <c r="G29">
        <f t="shared" si="49"/>
        <v>4972</v>
      </c>
      <c r="H29">
        <f t="shared" si="50"/>
        <v>-4356</v>
      </c>
      <c r="I29" t="s">
        <v>66</v>
      </c>
    </row>
    <row r="30" spans="1:9" x14ac:dyDescent="0.25">
      <c r="A30">
        <f t="shared" si="45"/>
        <v>4276</v>
      </c>
      <c r="B30" s="2" t="str">
        <f t="shared" si="46"/>
        <v>#############################################</v>
      </c>
      <c r="C30">
        <v>102400</v>
      </c>
      <c r="D30">
        <v>28276</v>
      </c>
      <c r="E30">
        <f t="shared" ref="E30" si="55">C30-C29</f>
        <v>0</v>
      </c>
      <c r="F30">
        <f t="shared" ref="F30" si="56">D30-D29</f>
        <v>-80</v>
      </c>
      <c r="G30">
        <f t="shared" si="49"/>
        <v>5052</v>
      </c>
      <c r="H30">
        <f t="shared" si="50"/>
        <v>-4276</v>
      </c>
      <c r="I30" t="s">
        <v>67</v>
      </c>
    </row>
    <row r="31" spans="1:9" x14ac:dyDescent="0.25">
      <c r="A31">
        <f t="shared" si="45"/>
        <v>5408</v>
      </c>
      <c r="B31" s="2" t="str">
        <f t="shared" si="46"/>
        <v>#########################################################</v>
      </c>
      <c r="C31">
        <v>104448</v>
      </c>
      <c r="D31">
        <v>29408</v>
      </c>
      <c r="E31">
        <f t="shared" ref="E31" si="57">C31-C30</f>
        <v>2048</v>
      </c>
      <c r="F31">
        <f t="shared" ref="F31" si="58">D31-D30</f>
        <v>1132</v>
      </c>
      <c r="G31">
        <f t="shared" si="49"/>
        <v>3920</v>
      </c>
      <c r="H31">
        <f t="shared" si="50"/>
        <v>-5408</v>
      </c>
      <c r="I31" t="s">
        <v>68</v>
      </c>
    </row>
    <row r="32" spans="1:9" x14ac:dyDescent="0.25">
      <c r="A32">
        <f t="shared" si="45"/>
        <v>5360</v>
      </c>
      <c r="B32" s="2" t="str">
        <f t="shared" si="46"/>
        <v>#########################################################</v>
      </c>
      <c r="C32">
        <v>104448</v>
      </c>
      <c r="D32">
        <v>29360</v>
      </c>
      <c r="E32">
        <f t="shared" ref="E32" si="59">C32-C31</f>
        <v>0</v>
      </c>
      <c r="F32">
        <f t="shared" ref="F32" si="60">D32-D31</f>
        <v>-48</v>
      </c>
      <c r="G32">
        <f t="shared" si="49"/>
        <v>3968</v>
      </c>
      <c r="H32">
        <f t="shared" si="50"/>
        <v>-5360</v>
      </c>
      <c r="I32" t="s">
        <v>69</v>
      </c>
    </row>
    <row r="33" spans="1:9" x14ac:dyDescent="0.25">
      <c r="A33">
        <f t="shared" ref="A33:A34" si="61">D33-$Q$2</f>
        <v>5260</v>
      </c>
      <c r="B33" s="2" t="str">
        <f t="shared" ref="B33:B34" si="62">REPT("#",A33*100/MAX(A:A))</f>
        <v>#######################################################</v>
      </c>
      <c r="C33">
        <v>104448</v>
      </c>
      <c r="D33">
        <v>29260</v>
      </c>
      <c r="E33">
        <f t="shared" ref="E33" si="63">C33-C32</f>
        <v>0</v>
      </c>
      <c r="F33">
        <f t="shared" ref="F33" si="64">D33-D32</f>
        <v>-100</v>
      </c>
      <c r="G33">
        <f t="shared" ref="G33" si="65">$D$3-D33</f>
        <v>4068</v>
      </c>
      <c r="H33">
        <f t="shared" ref="H33" si="66">$Q$2-D33</f>
        <v>-5260</v>
      </c>
      <c r="I33" t="s">
        <v>70</v>
      </c>
    </row>
    <row r="34" spans="1:9" x14ac:dyDescent="0.25">
      <c r="A34">
        <f t="shared" si="61"/>
        <v>5180</v>
      </c>
      <c r="B34" s="2" t="str">
        <f t="shared" si="62"/>
        <v>#######################################################</v>
      </c>
      <c r="C34">
        <v>103936</v>
      </c>
      <c r="D34">
        <v>29180</v>
      </c>
      <c r="E34">
        <f t="shared" ref="E34" si="67">C34-C33</f>
        <v>-512</v>
      </c>
      <c r="F34">
        <f t="shared" ref="F34" si="68">D34-D33</f>
        <v>-80</v>
      </c>
      <c r="G34">
        <f t="shared" ref="G34" si="69">$D$3-D34</f>
        <v>4148</v>
      </c>
      <c r="H34">
        <f t="shared" ref="H34" si="70">$Q$2-D34</f>
        <v>-5180</v>
      </c>
      <c r="I34" t="s">
        <v>71</v>
      </c>
    </row>
    <row r="35" spans="1:9" x14ac:dyDescent="0.25">
      <c r="A35">
        <f t="shared" ref="A35" si="71">D35-$Q$2</f>
        <v>5132</v>
      </c>
      <c r="B35" s="2" t="str">
        <f t="shared" ref="B35" si="72">REPT("#",A35*100/MAX(A:A))</f>
        <v>######################################################</v>
      </c>
      <c r="C35">
        <v>103936</v>
      </c>
      <c r="D35">
        <v>29132</v>
      </c>
      <c r="E35">
        <f t="shared" ref="E35" si="73">C35-C34</f>
        <v>0</v>
      </c>
      <c r="F35">
        <f t="shared" ref="F35" si="74">D35-D34</f>
        <v>-48</v>
      </c>
      <c r="G35">
        <f t="shared" ref="G35" si="75">$D$3-D35</f>
        <v>4196</v>
      </c>
      <c r="H35">
        <f t="shared" ref="H35" si="76">$Q$2-D35</f>
        <v>-5132</v>
      </c>
      <c r="I35" t="s">
        <v>72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1" t="s">
        <v>20</v>
      </c>
      <c r="C11">
        <v>20936</v>
      </c>
      <c r="D11">
        <f>C11-$C$10</f>
        <v>2488</v>
      </c>
    </row>
    <row r="12" spans="1:6" x14ac:dyDescent="0.25">
      <c r="A12" s="1" t="s">
        <v>21</v>
      </c>
      <c r="C12">
        <v>21228</v>
      </c>
      <c r="D12">
        <f t="shared" ref="D12:D21" si="2">C12-$C$10</f>
        <v>2780</v>
      </c>
    </row>
    <row r="13" spans="1:6" x14ac:dyDescent="0.25">
      <c r="A13" s="1" t="s">
        <v>22</v>
      </c>
      <c r="C13">
        <v>21924</v>
      </c>
      <c r="D13">
        <f t="shared" si="2"/>
        <v>3476</v>
      </c>
    </row>
    <row r="14" spans="1:6" x14ac:dyDescent="0.25">
      <c r="A14" s="1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1" t="s">
        <v>23</v>
      </c>
      <c r="C15">
        <v>30048</v>
      </c>
      <c r="D15">
        <f t="shared" si="2"/>
        <v>11600</v>
      </c>
    </row>
    <row r="16" spans="1:6" x14ac:dyDescent="0.25">
      <c r="A16" s="1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1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1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1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1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2026-04-14T12:59:28Z</dcterms:modified>
</cp:coreProperties>
</file>