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ot\git\thenfour\WaveSabre\"/>
    </mc:Choice>
  </mc:AlternateContent>
  <xr:revisionPtr revIDLastSave="0" documentId="13_ncr:1_{12B5470B-6363-4313-8D31-EC416C1CC666}" xr6:coauthVersionLast="47" xr6:coauthVersionMax="47" xr10:uidLastSave="{00000000-0000-0000-0000-000000000000}"/>
  <bookViews>
    <workbookView xWindow="10785" yWindow="3030" windowWidth="25005" windowHeight="16545" xr2:uid="{57C643F4-F52E-40AC-8074-51E8A42F96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F13" i="1"/>
  <c r="A13" i="1"/>
  <c r="B13" i="1" s="1"/>
  <c r="G13" i="1"/>
  <c r="H13" i="1"/>
  <c r="E12" i="1"/>
  <c r="F12" i="1"/>
  <c r="A12" i="1"/>
  <c r="G12" i="1"/>
  <c r="H12" i="1"/>
  <c r="E11" i="1"/>
  <c r="F11" i="1"/>
  <c r="A11" i="1"/>
  <c r="G11" i="1"/>
  <c r="H11" i="1"/>
  <c r="E10" i="1"/>
  <c r="F10" i="1"/>
  <c r="A10" i="1"/>
  <c r="G10" i="1"/>
  <c r="H10" i="1"/>
  <c r="A5" i="1"/>
  <c r="A6" i="1"/>
  <c r="A7" i="1"/>
  <c r="A8" i="1"/>
  <c r="A9" i="1"/>
  <c r="A4" i="1"/>
  <c r="D21" i="2"/>
  <c r="E9" i="1"/>
  <c r="F9" i="1"/>
  <c r="G9" i="1"/>
  <c r="H9" i="1"/>
  <c r="E8" i="1"/>
  <c r="F8" i="1"/>
  <c r="G8" i="1"/>
  <c r="H8" i="1"/>
  <c r="E7" i="1"/>
  <c r="F7" i="1"/>
  <c r="G7" i="1"/>
  <c r="H7" i="1"/>
  <c r="E20" i="2"/>
  <c r="D20" i="2"/>
  <c r="E19" i="2"/>
  <c r="D19" i="2"/>
  <c r="E18" i="2"/>
  <c r="D18" i="2"/>
  <c r="E17" i="2"/>
  <c r="D17" i="2"/>
  <c r="E16" i="2"/>
  <c r="D16" i="2"/>
  <c r="D14" i="2"/>
  <c r="D12" i="2"/>
  <c r="D13" i="2"/>
  <c r="D15" i="2"/>
  <c r="D11" i="2"/>
  <c r="E6" i="1"/>
  <c r="F6" i="1"/>
  <c r="G6" i="1"/>
  <c r="H6" i="1"/>
  <c r="E4" i="2"/>
  <c r="E5" i="2"/>
  <c r="E3" i="2"/>
  <c r="D4" i="2"/>
  <c r="D5" i="2"/>
  <c r="D3" i="2"/>
  <c r="F5" i="1"/>
  <c r="G5" i="1"/>
  <c r="H5" i="1"/>
  <c r="E5" i="1"/>
  <c r="E4" i="1"/>
  <c r="G4" i="1"/>
  <c r="F4" i="1"/>
  <c r="A3" i="1"/>
  <c r="H4" i="1"/>
  <c r="B11" i="1" l="1"/>
  <c r="B12" i="1"/>
  <c r="B4" i="1"/>
  <c r="B9" i="1"/>
  <c r="B8" i="1"/>
  <c r="B10" i="1"/>
  <c r="B6" i="1"/>
  <c r="B7" i="1"/>
  <c r="B5" i="1"/>
  <c r="B3" i="1"/>
</calcChain>
</file>

<file path=xl/sharedStrings.xml><?xml version="1.0" encoding="utf-8"?>
<sst xmlns="http://schemas.openxmlformats.org/spreadsheetml/2006/main" count="51" uniqueCount="51">
  <si>
    <t>target</t>
  </si>
  <si>
    <t>save total</t>
  </si>
  <si>
    <t>balance</t>
  </si>
  <si>
    <t>baseline: x86, minsizerel (no pdb), Maj7consoleplayer, rev2026 entry payload 20-fewernotes</t>
  </si>
  <si>
    <t>first attempt at putting Song in wavesabrecore, hard coding many things</t>
  </si>
  <si>
    <t>pre-squish</t>
  </si>
  <si>
    <t>delta</t>
  </si>
  <si>
    <t>adding oneshot support</t>
  </si>
  <si>
    <t>presquishdelta</t>
  </si>
  <si>
    <t>unpadded squished</t>
  </si>
  <si>
    <t>track flags vs serialization</t>
  </si>
  <si>
    <t>base</t>
  </si>
  <si>
    <t>oneshots on percussion tracks</t>
  </si>
  <si>
    <t>fixed velocity on riser + snare tracks</t>
  </si>
  <si>
    <t>uncompressed song data</t>
  </si>
  <si>
    <t>compressed</t>
  </si>
  <si>
    <t>both</t>
  </si>
  <si>
    <t>with oneshot song payload</t>
  </si>
  <si>
    <t>device sizes</t>
  </si>
  <si>
    <t>no devices (only song data + player + wavwriter + overhead)</t>
  </si>
  <si>
    <t>+eq only</t>
  </si>
  <si>
    <t>+space only</t>
  </si>
  <si>
    <t>+mbc only</t>
  </si>
  <si>
    <t>+gigasynth only</t>
  </si>
  <si>
    <t>from base</t>
  </si>
  <si>
    <t>+eq, space, mbc</t>
  </si>
  <si>
    <t>so, about 3kb is shared code between fx. 2kb is specific to the 3 effects</t>
  </si>
  <si>
    <t>+gigasynth + eq</t>
  </si>
  <si>
    <t>gigasynth+space</t>
  </si>
  <si>
    <t>so EQ adds 368 bytes from gigasynth</t>
  </si>
  <si>
    <t>wow space adds 1,2kb how??</t>
  </si>
  <si>
    <t>gigasynth+space + eq</t>
  </si>
  <si>
    <t>eq continues to show about 350 bytes of specific code.</t>
  </si>
  <si>
    <t>gigasynth + mbc</t>
  </si>
  <si>
    <t>gigasynth + mbc + space</t>
  </si>
  <si>
    <t>so mbc seems to add 1,7kb</t>
  </si>
  <si>
    <t>here space is showing 1kb more than mbc.</t>
  </si>
  <si>
    <t>conclusion:</t>
  </si>
  <si>
    <t>gigasynth itself is like 12kb of code.</t>
  </si>
  <si>
    <t>eq is tiny because it's just filters used by gigasynth, about 350 bytes</t>
  </si>
  <si>
    <t>space and mbc are about 1.5kb each</t>
  </si>
  <si>
    <t>plan: monolithic effect device first, then make a budget for gigasynth</t>
  </si>
  <si>
    <t>new graph runner: serialization additions, reading track flag</t>
  </si>
  <si>
    <t>stripping out graph runner basically entirely</t>
  </si>
  <si>
    <t>new graph runner working</t>
  </si>
  <si>
    <t>no rendered song data, no devices</t>
  </si>
  <si>
    <t>this is the player, wav writer, graph runner overhead</t>
  </si>
  <si>
    <t>maj7comp instead of mbc</t>
  </si>
  <si>
    <t>removing selectable filter models &amp; slopes, using vanilla onepole</t>
  </si>
  <si>
    <t>removing LP and Q from sidechain</t>
  </si>
  <si>
    <t>adding in sineclipper to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</si>
</sst>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08B1-9BA5-43A8-9C7E-633386A766E4}">
  <dimension ref="A1:Q13"/>
  <sheetViews>
    <sheetView tabSelected="1" workbookViewId="0">
      <pane ySplit="1" topLeftCell="A2" activePane="bottomLeft" state="frozen"/>
      <selection pane="bottomLeft" activeCell="A14" sqref="A14:L14"/>
    </sheetView>
  </sheetViews>
  <sheetFormatPr defaultRowHeight="15" x14ac:dyDescent="0.25"/>
  <cols>
    <col min="2" max="2" width="74.5703125" style="1" bestFit="1" customWidth="1"/>
    <col min="3" max="3" width="10.42578125" bestFit="1" customWidth="1"/>
    <col min="4" max="4" width="18.7109375" bestFit="1" customWidth="1"/>
    <col min="5" max="5" width="14.42578125" bestFit="1" customWidth="1"/>
    <col min="6" max="6" width="5.5703125" bestFit="1" customWidth="1"/>
    <col min="7" max="7" width="9.5703125" bestFit="1" customWidth="1"/>
    <col min="8" max="8" width="7.85546875" bestFit="1" customWidth="1"/>
  </cols>
  <sheetData>
    <row r="1" spans="1:17" x14ac:dyDescent="0.25">
      <c r="C1" t="s">
        <v>5</v>
      </c>
      <c r="D1" t="s">
        <v>9</v>
      </c>
      <c r="E1" t="s">
        <v>8</v>
      </c>
      <c r="F1" t="s">
        <v>6</v>
      </c>
      <c r="G1" t="s">
        <v>1</v>
      </c>
      <c r="H1" t="s">
        <v>2</v>
      </c>
    </row>
    <row r="2" spans="1:17" x14ac:dyDescent="0.25">
      <c r="P2" t="s">
        <v>0</v>
      </c>
      <c r="Q2">
        <v>24000</v>
      </c>
    </row>
    <row r="3" spans="1:17" x14ac:dyDescent="0.25">
      <c r="A3">
        <f>D3-$Q$2</f>
        <v>9328</v>
      </c>
      <c r="B3" s="1" t="str">
        <f>REPT("#",A3*100/MAX(A:A))</f>
        <v>###################################################################################################</v>
      </c>
      <c r="C3">
        <v>117248</v>
      </c>
      <c r="D3">
        <v>33328</v>
      </c>
      <c r="I3" t="s">
        <v>3</v>
      </c>
    </row>
    <row r="4" spans="1:17" x14ac:dyDescent="0.25">
      <c r="A4">
        <f>D4-$Q$2</f>
        <v>9360</v>
      </c>
      <c r="B4" s="1" t="str">
        <f>REPT("#",A4*100/MAX(A:A))</f>
        <v>###################################################################################################</v>
      </c>
      <c r="C4">
        <v>116224</v>
      </c>
      <c r="D4">
        <v>33360</v>
      </c>
      <c r="E4">
        <f t="shared" ref="E4:F6" si="0">C4-C3</f>
        <v>-1024</v>
      </c>
      <c r="F4">
        <f t="shared" si="0"/>
        <v>32</v>
      </c>
      <c r="G4">
        <f t="shared" ref="G4:G13" si="1">$D$3-D4</f>
        <v>-32</v>
      </c>
      <c r="H4">
        <f t="shared" ref="H4:H13" si="2">$Q$2-D4</f>
        <v>-9360</v>
      </c>
      <c r="I4" t="s">
        <v>4</v>
      </c>
    </row>
    <row r="5" spans="1:17" x14ac:dyDescent="0.25">
      <c r="A5">
        <f t="shared" ref="A5:A13" si="3">D5-$Q$2</f>
        <v>9396</v>
      </c>
      <c r="B5" s="1" t="str">
        <f t="shared" ref="B5:B13" si="4">REPT("#",A5*100/MAX(A:A))</f>
        <v>####################################################################################################</v>
      </c>
      <c r="C5">
        <v>116736</v>
      </c>
      <c r="D5">
        <v>33396</v>
      </c>
      <c r="E5">
        <f t="shared" si="0"/>
        <v>512</v>
      </c>
      <c r="F5">
        <f t="shared" si="0"/>
        <v>36</v>
      </c>
      <c r="G5">
        <f t="shared" si="1"/>
        <v>-68</v>
      </c>
      <c r="H5">
        <f t="shared" si="2"/>
        <v>-9396</v>
      </c>
      <c r="I5" t="s">
        <v>7</v>
      </c>
    </row>
    <row r="6" spans="1:17" x14ac:dyDescent="0.25">
      <c r="A6">
        <f t="shared" si="3"/>
        <v>9188</v>
      </c>
      <c r="B6" s="1" t="str">
        <f t="shared" si="4"/>
        <v>#################################################################################################</v>
      </c>
      <c r="C6">
        <v>115200</v>
      </c>
      <c r="D6">
        <v>33188</v>
      </c>
      <c r="E6">
        <f t="shared" si="0"/>
        <v>-1536</v>
      </c>
      <c r="F6">
        <f t="shared" si="0"/>
        <v>-208</v>
      </c>
      <c r="G6">
        <f t="shared" si="1"/>
        <v>140</v>
      </c>
      <c r="H6">
        <f t="shared" si="2"/>
        <v>-9188</v>
      </c>
      <c r="I6" t="s">
        <v>17</v>
      </c>
    </row>
    <row r="7" spans="1:17" x14ac:dyDescent="0.25">
      <c r="A7">
        <f t="shared" si="3"/>
        <v>9196</v>
      </c>
      <c r="B7" s="1" t="str">
        <f t="shared" si="4"/>
        <v>#################################################################################################</v>
      </c>
      <c r="C7">
        <v>115200</v>
      </c>
      <c r="D7">
        <v>33196</v>
      </c>
      <c r="E7">
        <f t="shared" ref="E7" si="5">C7-C6</f>
        <v>0</v>
      </c>
      <c r="F7">
        <f t="shared" ref="F7" si="6">D7-D6</f>
        <v>8</v>
      </c>
      <c r="G7">
        <f t="shared" si="1"/>
        <v>132</v>
      </c>
      <c r="H7">
        <f t="shared" si="2"/>
        <v>-9196</v>
      </c>
      <c r="I7" t="s">
        <v>42</v>
      </c>
    </row>
    <row r="8" spans="1:17" x14ac:dyDescent="0.25">
      <c r="A8">
        <f t="shared" si="3"/>
        <v>8696</v>
      </c>
      <c r="B8" s="1" t="str">
        <f t="shared" si="4"/>
        <v>############################################################################################</v>
      </c>
      <c r="C8">
        <v>114176</v>
      </c>
      <c r="D8">
        <v>32696</v>
      </c>
      <c r="E8">
        <f t="shared" ref="E8" si="7">C8-C7</f>
        <v>-1024</v>
      </c>
      <c r="F8">
        <f t="shared" ref="F8" si="8">D8-D7</f>
        <v>-500</v>
      </c>
      <c r="G8">
        <f t="shared" si="1"/>
        <v>632</v>
      </c>
      <c r="H8">
        <f t="shared" si="2"/>
        <v>-8696</v>
      </c>
      <c r="I8" t="s">
        <v>43</v>
      </c>
    </row>
    <row r="9" spans="1:17" x14ac:dyDescent="0.25">
      <c r="A9">
        <f t="shared" si="3"/>
        <v>8792</v>
      </c>
      <c r="B9" s="1" t="str">
        <f t="shared" si="4"/>
        <v>#############################################################################################</v>
      </c>
      <c r="C9">
        <v>114176</v>
      </c>
      <c r="D9">
        <v>32792</v>
      </c>
      <c r="E9">
        <f t="shared" ref="E9" si="9">C9-C8</f>
        <v>0</v>
      </c>
      <c r="F9">
        <f t="shared" ref="F9" si="10">D9-D8</f>
        <v>96</v>
      </c>
      <c r="G9">
        <f t="shared" si="1"/>
        <v>536</v>
      </c>
      <c r="H9">
        <f t="shared" si="2"/>
        <v>-8792</v>
      </c>
      <c r="I9" t="s">
        <v>44</v>
      </c>
    </row>
    <row r="10" spans="1:17" x14ac:dyDescent="0.25">
      <c r="A10">
        <f t="shared" si="3"/>
        <v>7744</v>
      </c>
      <c r="B10" s="1" t="str">
        <f t="shared" si="4"/>
        <v>##################################################################################</v>
      </c>
      <c r="C10">
        <v>111104</v>
      </c>
      <c r="D10">
        <v>31744</v>
      </c>
      <c r="E10">
        <f t="shared" ref="E10" si="11">C10-C9</f>
        <v>-3072</v>
      </c>
      <c r="F10">
        <f t="shared" ref="F10" si="12">D10-D9</f>
        <v>-1048</v>
      </c>
      <c r="G10">
        <f t="shared" si="1"/>
        <v>1584</v>
      </c>
      <c r="H10">
        <f t="shared" si="2"/>
        <v>-7744</v>
      </c>
      <c r="I10" t="s">
        <v>47</v>
      </c>
    </row>
    <row r="11" spans="1:17" x14ac:dyDescent="0.25">
      <c r="A11">
        <f t="shared" si="3"/>
        <v>7124</v>
      </c>
      <c r="B11" s="1" t="str">
        <f t="shared" si="4"/>
        <v>###########################################################################</v>
      </c>
      <c r="C11">
        <v>109568</v>
      </c>
      <c r="D11">
        <v>31124</v>
      </c>
      <c r="E11">
        <f t="shared" ref="E11" si="13">C11-C10</f>
        <v>-1536</v>
      </c>
      <c r="F11">
        <f t="shared" ref="F11" si="14">D11-D10</f>
        <v>-620</v>
      </c>
      <c r="G11">
        <f t="shared" si="1"/>
        <v>2204</v>
      </c>
      <c r="H11">
        <f t="shared" si="2"/>
        <v>-7124</v>
      </c>
      <c r="I11" t="s">
        <v>48</v>
      </c>
    </row>
    <row r="12" spans="1:17" x14ac:dyDescent="0.25">
      <c r="A12">
        <f t="shared" si="3"/>
        <v>7104</v>
      </c>
      <c r="B12" s="1" t="str">
        <f t="shared" si="4"/>
        <v>###########################################################################</v>
      </c>
      <c r="C12">
        <v>109568</v>
      </c>
      <c r="D12">
        <v>31104</v>
      </c>
      <c r="E12">
        <f t="shared" ref="E12" si="15">C12-C11</f>
        <v>0</v>
      </c>
      <c r="F12">
        <f t="shared" ref="F12" si="16">D12-D11</f>
        <v>-20</v>
      </c>
      <c r="G12">
        <f t="shared" si="1"/>
        <v>2224</v>
      </c>
      <c r="H12">
        <f t="shared" si="2"/>
        <v>-7104</v>
      </c>
      <c r="I12" t="s">
        <v>49</v>
      </c>
    </row>
    <row r="13" spans="1:17" x14ac:dyDescent="0.25">
      <c r="A13">
        <f t="shared" si="3"/>
        <v>7108</v>
      </c>
      <c r="B13" s="1" t="str">
        <f t="shared" si="4"/>
        <v>###########################################################################</v>
      </c>
      <c r="C13">
        <v>109568</v>
      </c>
      <c r="D13">
        <v>31108</v>
      </c>
      <c r="E13">
        <f t="shared" ref="E13" si="17">C13-C12</f>
        <v>0</v>
      </c>
      <c r="F13">
        <f t="shared" ref="F13" si="18">D13-D12</f>
        <v>4</v>
      </c>
      <c r="G13">
        <f t="shared" si="1"/>
        <v>2220</v>
      </c>
      <c r="H13">
        <f t="shared" si="2"/>
        <v>-7108</v>
      </c>
      <c r="I13" t="s">
        <v>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FA46-C395-40D3-849E-85E8997FBDEF}">
  <dimension ref="A1:F29"/>
  <sheetViews>
    <sheetView workbookViewId="0">
      <selection activeCell="C21" sqref="C21"/>
    </sheetView>
  </sheetViews>
  <sheetFormatPr defaultRowHeight="15" x14ac:dyDescent="0.25"/>
  <cols>
    <col min="1" max="1" width="55.140625" bestFit="1" customWidth="1"/>
    <col min="2" max="2" width="23.28515625" bestFit="1" customWidth="1"/>
    <col min="3" max="3" width="11.7109375" bestFit="1" customWidth="1"/>
  </cols>
  <sheetData>
    <row r="1" spans="1:6" x14ac:dyDescent="0.25">
      <c r="A1" t="s">
        <v>10</v>
      </c>
      <c r="B1" t="s">
        <v>14</v>
      </c>
      <c r="C1" t="s">
        <v>15</v>
      </c>
    </row>
    <row r="2" spans="1:6" x14ac:dyDescent="0.25">
      <c r="A2" t="s">
        <v>11</v>
      </c>
      <c r="B2">
        <v>69705</v>
      </c>
      <c r="C2">
        <v>12623</v>
      </c>
    </row>
    <row r="3" spans="1:6" x14ac:dyDescent="0.25">
      <c r="A3" t="s">
        <v>12</v>
      </c>
      <c r="B3">
        <v>68052</v>
      </c>
      <c r="C3">
        <v>12400</v>
      </c>
      <c r="D3">
        <f>B3-$B$2</f>
        <v>-1653</v>
      </c>
      <c r="E3">
        <f>C3-$C$2</f>
        <v>-223</v>
      </c>
    </row>
    <row r="4" spans="1:6" x14ac:dyDescent="0.25">
      <c r="A4" t="s">
        <v>13</v>
      </c>
      <c r="B4">
        <v>69540</v>
      </c>
      <c r="C4">
        <v>12600</v>
      </c>
      <c r="D4">
        <f t="shared" ref="D4:D5" si="0">B4-$B$2</f>
        <v>-165</v>
      </c>
      <c r="E4">
        <f t="shared" ref="E4:E5" si="1">C4-$C$2</f>
        <v>-23</v>
      </c>
    </row>
    <row r="5" spans="1:6" x14ac:dyDescent="0.25">
      <c r="A5" t="s">
        <v>16</v>
      </c>
      <c r="B5">
        <v>67887</v>
      </c>
      <c r="C5">
        <v>12385</v>
      </c>
      <c r="D5">
        <f t="shared" si="0"/>
        <v>-1818</v>
      </c>
      <c r="E5">
        <f t="shared" si="1"/>
        <v>-238</v>
      </c>
    </row>
    <row r="9" spans="1:6" x14ac:dyDescent="0.25">
      <c r="A9" t="s">
        <v>18</v>
      </c>
      <c r="D9" t="s">
        <v>24</v>
      </c>
    </row>
    <row r="10" spans="1:6" x14ac:dyDescent="0.25">
      <c r="A10" t="s">
        <v>19</v>
      </c>
      <c r="C10">
        <v>18448</v>
      </c>
    </row>
    <row r="11" spans="1:6" x14ac:dyDescent="0.25">
      <c r="A11" s="2" t="s">
        <v>20</v>
      </c>
      <c r="C11">
        <v>20936</v>
      </c>
      <c r="D11">
        <f>C11-$C$10</f>
        <v>2488</v>
      </c>
    </row>
    <row r="12" spans="1:6" x14ac:dyDescent="0.25">
      <c r="A12" s="2" t="s">
        <v>21</v>
      </c>
      <c r="C12">
        <v>21228</v>
      </c>
      <c r="D12">
        <f t="shared" ref="D12:D21" si="2">C12-$C$10</f>
        <v>2780</v>
      </c>
    </row>
    <row r="13" spans="1:6" x14ac:dyDescent="0.25">
      <c r="A13" s="2" t="s">
        <v>22</v>
      </c>
      <c r="C13">
        <v>21924</v>
      </c>
      <c r="D13">
        <f t="shared" si="2"/>
        <v>3476</v>
      </c>
    </row>
    <row r="14" spans="1:6" x14ac:dyDescent="0.25">
      <c r="A14" s="2" t="s">
        <v>25</v>
      </c>
      <c r="C14">
        <v>24008</v>
      </c>
      <c r="D14">
        <f t="shared" si="2"/>
        <v>5560</v>
      </c>
      <c r="F14" t="s">
        <v>26</v>
      </c>
    </row>
    <row r="15" spans="1:6" x14ac:dyDescent="0.25">
      <c r="A15" s="2" t="s">
        <v>23</v>
      </c>
      <c r="C15">
        <v>30048</v>
      </c>
      <c r="D15">
        <f t="shared" si="2"/>
        <v>11600</v>
      </c>
    </row>
    <row r="16" spans="1:6" x14ac:dyDescent="0.25">
      <c r="A16" s="2" t="s">
        <v>27</v>
      </c>
      <c r="C16">
        <v>30416</v>
      </c>
      <c r="D16">
        <f t="shared" si="2"/>
        <v>11968</v>
      </c>
      <c r="E16">
        <f>C16-C15</f>
        <v>368</v>
      </c>
      <c r="F16" t="s">
        <v>29</v>
      </c>
    </row>
    <row r="17" spans="1:6" x14ac:dyDescent="0.25">
      <c r="A17" s="2" t="s">
        <v>28</v>
      </c>
      <c r="C17">
        <v>31292</v>
      </c>
      <c r="D17">
        <f t="shared" si="2"/>
        <v>12844</v>
      </c>
      <c r="E17">
        <f>C17-C15</f>
        <v>1244</v>
      </c>
      <c r="F17" t="s">
        <v>30</v>
      </c>
    </row>
    <row r="18" spans="1:6" x14ac:dyDescent="0.25">
      <c r="A18" s="2" t="s">
        <v>31</v>
      </c>
      <c r="C18">
        <v>31629</v>
      </c>
      <c r="D18">
        <f t="shared" si="2"/>
        <v>13181</v>
      </c>
      <c r="E18">
        <f>C18-C17</f>
        <v>337</v>
      </c>
      <c r="F18" t="s">
        <v>32</v>
      </c>
    </row>
    <row r="19" spans="1:6" x14ac:dyDescent="0.25">
      <c r="A19" s="2" t="s">
        <v>33</v>
      </c>
      <c r="C19">
        <v>31840</v>
      </c>
      <c r="D19">
        <f t="shared" si="2"/>
        <v>13392</v>
      </c>
      <c r="E19">
        <f>C19-C15</f>
        <v>1792</v>
      </c>
      <c r="F19" t="s">
        <v>35</v>
      </c>
    </row>
    <row r="20" spans="1:6" x14ac:dyDescent="0.25">
      <c r="A20" s="2" t="s">
        <v>34</v>
      </c>
      <c r="C20">
        <v>32868</v>
      </c>
      <c r="D20">
        <f t="shared" si="2"/>
        <v>14420</v>
      </c>
      <c r="E20">
        <f>C19-C20</f>
        <v>-1028</v>
      </c>
      <c r="F20" t="s">
        <v>36</v>
      </c>
    </row>
    <row r="21" spans="1:6" x14ac:dyDescent="0.25">
      <c r="A21" t="s">
        <v>45</v>
      </c>
      <c r="C21">
        <v>6244</v>
      </c>
      <c r="D21">
        <f t="shared" si="2"/>
        <v>-12204</v>
      </c>
      <c r="F21" t="s">
        <v>46</v>
      </c>
    </row>
    <row r="25" spans="1:6" x14ac:dyDescent="0.25">
      <c r="A25" t="s">
        <v>37</v>
      </c>
    </row>
    <row r="26" spans="1:6" x14ac:dyDescent="0.25">
      <c r="A26" t="s">
        <v>38</v>
      </c>
    </row>
    <row r="27" spans="1:6" x14ac:dyDescent="0.25">
      <c r="A27" t="s">
        <v>39</v>
      </c>
    </row>
    <row r="28" spans="1:6" x14ac:dyDescent="0.25">
      <c r="A28" t="s">
        <v>40</v>
      </c>
    </row>
    <row r="29" spans="1:6" x14ac:dyDescent="0.25">
      <c r="A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Corcoran</dc:creator>
  <cp:lastModifiedBy>Carl Corcoran</cp:lastModifiedBy>
  <dcterms:created xsi:type="dcterms:W3CDTF">2026-03-01T10:07:45Z</dcterms:created>
  <dcterms:modified xsi:type="dcterms:W3CDTF">2026-04-13T10:49:19Z</dcterms:modified>
</cp:coreProperties>
</file>